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00_采集手册" sheetId="1" r:id="rId1"/>
    <sheet name="01_极简采集表" sheetId="2" r:id="rId2"/>
    <sheet name="02_下拉字典" sheetId="3" r:id="rId3"/>
    <sheet name="03_清洗入库规则" sheetId="4" r:id="rId4"/>
    <sheet name="04_脱敏样例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<sst xmlns="http://schemas.openxmlformats.org/spreadsheetml/2006/main" count="1017" uniqueCount="488">
  <si>
    <t>律师画像采集表与采集手册｜极简 MVP 版</t>
  </si>
  <si>
    <t>目标：用脱敏、抽象化字段采集律师的判断方式、策略偏好、风险沟通和司法温度。本表不采集案件细节，不保存真实身份信息，不替代律师判断。每个案件关键节点用 1 行记录，3 分钟内完成。</t>
  </si>
  <si>
    <t>MVP采集原则</t>
  </si>
  <si>
    <t/>
  </si>
  <si>
    <t>采集节奏</t>
  </si>
  <si>
    <t>1</t>
  </si>
  <si>
    <t>只抽象行为逻辑</t>
  </si>
  <si>
    <t>记录“为什么这样判断、如何取舍、如何沟通”，不记录案情细节。</t>
  </si>
  <si>
    <t>历史案件第一批</t>
  </si>
  <si>
    <t>20—30个典型案件，每案1—3行</t>
  </si>
  <si>
    <t>先建画像骨架</t>
  </si>
  <si>
    <t>2</t>
  </si>
  <si>
    <t>先脱敏再入库</t>
  </si>
  <si>
    <t>姓名、案号、法院、公司、地名、精确金额、证据原文全部不得入库。</t>
  </si>
  <si>
    <t>新案常规采集</t>
  </si>
  <si>
    <t>每个关键节点1行</t>
  </si>
  <si>
    <t>不要求每次都完整</t>
  </si>
  <si>
    <t>3</t>
  </si>
  <si>
    <t>一案多节点</t>
  </si>
  <si>
    <t>咨询、策略、庭审、调解、复盘等关键节点可各采一行。</t>
  </si>
  <si>
    <t>周清洗</t>
  </si>
  <si>
    <t>每周或每10—20行清洗一次</t>
  </si>
  <si>
    <t>去敏、合并、提炼规则</t>
  </si>
  <si>
    <t>4</t>
  </si>
  <si>
    <t>只填有信息量的字段</t>
  </si>
  <si>
    <t>未知可以空着；宁可少填，也不要填敏感细节。</t>
  </si>
  <si>
    <t>月复盘</t>
  </si>
  <si>
    <t>每月沉淀5—10条可复用判断规则</t>
  </si>
  <si>
    <t>进入轻量画像库</t>
  </si>
  <si>
    <t>5</t>
  </si>
  <si>
    <t>优先采集典型样本</t>
  </si>
  <si>
    <t>赢得漂亮、输得有教训、调解成功、反直觉处理、客户预期失控。</t>
  </si>
  <si>
    <t>季度升级</t>
  </si>
  <si>
    <t>整理高价值规则与反例</t>
  </si>
  <si>
    <t>用于高级记忆库</t>
  </si>
  <si>
    <t>6</t>
  </si>
  <si>
    <t>定期清洗</t>
  </si>
  <si>
    <t>由负责人定期去重、脱敏、打标签、转成画像记忆。</t>
  </si>
  <si>
    <t>禁止动作</t>
  </si>
  <si>
    <t>不要贴判决原文、证据截图、聊天记录</t>
  </si>
  <si>
    <t>只写抽象结论</t>
  </si>
  <si>
    <t>采集时只问 6 个问题</t>
  </si>
  <si>
    <t>Q1</t>
  </si>
  <si>
    <t>这是哪类抽象案件/节点？</t>
  </si>
  <si>
    <t>例：合同争议/庭前策略/调解复盘</t>
  </si>
  <si>
    <t>Q2</t>
  </si>
  <si>
    <t>冲突结构是什么？</t>
  </si>
  <si>
    <t>例：事实真假、证据不足、责任分配、情绪对抗</t>
  </si>
  <si>
    <t>Q3</t>
  </si>
  <si>
    <t>你第一反应怎么判断？</t>
  </si>
  <si>
    <t>例：先补证、建议调解、保守推进、强攻</t>
  </si>
  <si>
    <t>Q4</t>
  </si>
  <si>
    <t>你选择了什么策略？</t>
  </si>
  <si>
    <t>例：证据先行、低成本试探、谈判施压、程序卡点</t>
  </si>
  <si>
    <t>Q5</t>
  </si>
  <si>
    <t>你优先保护什么？</t>
  </si>
  <si>
    <t>例：胜率、成本、时间、关系、底线、尊严、风险</t>
  </si>
  <si>
    <t>Q6</t>
  </si>
  <si>
    <t>这条能抽象成什么规则？</t>
  </si>
  <si>
    <t>格式：遇到X，倾向Y；但如果Z，则改走W。</t>
  </si>
  <si>
    <t>脱敏红线</t>
  </si>
  <si>
    <t>禁止填写</t>
  </si>
  <si>
    <t>真实姓名、身份证、手机号、案号、法院全称、公司名称、具体地址、精确金额、证据原文、聊天记录原文</t>
  </si>
  <si>
    <t>替代表达</t>
  </si>
  <si>
    <t>当事人A/相对方B/某基层法院/金额区间/一线城市/制造业企业/关键书证/沟通记录摘要</t>
  </si>
  <si>
    <t>金额处理</t>
  </si>
  <si>
    <t>用区间：1万以下、1—10万、10—100万、100万以上；不要写精确数。</t>
  </si>
  <si>
    <t>时间处理</t>
  </si>
  <si>
    <t>用阶段：早期/中期/临近开庭/判后/执行；不要写具体日期。</t>
  </si>
  <si>
    <t>地点处理</t>
  </si>
  <si>
    <t>用区域层级：省内地市/外省/一线城市/县域；不要写具体地名。</t>
  </si>
  <si>
    <t>复盘标签怎么用</t>
  </si>
  <si>
    <t>用途</t>
  </si>
  <si>
    <t>不是让客户多填一堆复盘，而是在结果出来后给该节点贴一个最小标签，方便你清洗入库时筛选“可复用规则”和“反例修正规则”。</t>
  </si>
  <si>
    <t>谁来填</t>
  </si>
  <si>
    <t>优先由你在周清洗/月复盘时填写；客户/律师太忙时，主采集阶段可以留空。</t>
  </si>
  <si>
    <t>怎么填</t>
  </si>
  <si>
    <t>从下拉里选 1 个主标签即可；必要时在“结果/复盘”写一句抽象原因，不写案件细节。</t>
  </si>
  <si>
    <t>复盘标签入库逻辑｜周清洗/月复盘使用</t>
  </si>
  <si>
    <t>复盘标签不是新增采集负担。主采集阶段可以留空；由你在周清洗或月复盘时补 1 个主标签。它的作用是判断一条记录应该强化画像、修正画像、进入反例边界，还是仅作备查。</t>
  </si>
  <si>
    <t>复盘标签</t>
  </si>
  <si>
    <t>代表含义</t>
  </si>
  <si>
    <t>清洗动作</t>
  </si>
  <si>
    <t>入库去向</t>
  </si>
  <si>
    <t>画像更新方式</t>
  </si>
  <si>
    <t>注意事项</t>
  </si>
  <si>
    <t>最小判断句式</t>
  </si>
  <si>
    <t>判断准确</t>
  </si>
  <si>
    <t>原判断被结果验证</t>
  </si>
  <si>
    <t>提炼条件句</t>
  </si>
  <si>
    <t>核心画像 / 判断偏好</t>
  </si>
  <si>
    <t>强化原规则</t>
  </si>
  <si>
    <t>仍要补充适用边界</t>
  </si>
  <si>
    <t>遇到X，倾向先判断Y。</t>
  </si>
  <si>
    <t>策略有效</t>
  </si>
  <si>
    <t>策略选择带来有效结果</t>
  </si>
  <si>
    <t>提炼策略触发条件</t>
  </si>
  <si>
    <t>策略画像</t>
  </si>
  <si>
    <t>强化策略偏好</t>
  </si>
  <si>
    <t>不要写具体输赢细节</t>
  </si>
  <si>
    <t>当X出现时，优先采用Y策略。</t>
  </si>
  <si>
    <t>情绪治理有效</t>
  </si>
  <si>
    <t>客户情绪/预期被稳定处理</t>
  </si>
  <si>
    <t>提炼沟通动作</t>
  </si>
  <si>
    <t>沟通温度画像</t>
  </si>
  <si>
    <t>强化司法温度</t>
  </si>
  <si>
    <t>不记录客户隐私情绪</t>
  </si>
  <si>
    <t>面对X状态，先Y，再Z。</t>
  </si>
  <si>
    <t>证据误判</t>
  </si>
  <si>
    <t>证据强弱、证明力或补证可能判断偏差</t>
  </si>
  <si>
    <t>写反例条件</t>
  </si>
  <si>
    <t>反例边界 / 风险画像</t>
  </si>
  <si>
    <t>修正旧规则</t>
  </si>
  <si>
    <t>必须写一句抽象原因</t>
  </si>
  <si>
    <t>原以为X，但因Y，应改为Z。</t>
  </si>
  <si>
    <t>程序节点失误</t>
  </si>
  <si>
    <t>时效、管辖、举证、保全、执行等节点判断不足</t>
  </si>
  <si>
    <t>提炼程序提醒</t>
  </si>
  <si>
    <t>程序风险画像</t>
  </si>
  <si>
    <t>增加前置检查项</t>
  </si>
  <si>
    <t>不得写案号/法院</t>
  </si>
  <si>
    <t>遇到X节点，先检查Y。</t>
  </si>
  <si>
    <t>客户预期失控</t>
  </si>
  <si>
    <t>客户对胜率、成本、时间或结果期待失真</t>
  </si>
  <si>
    <t>提炼预期管理方式</t>
  </si>
  <si>
    <t>风险沟通画像</t>
  </si>
  <si>
    <t>修正沟通节奏</t>
  </si>
  <si>
    <t>不要归咎客户，只写机制</t>
  </si>
  <si>
    <t>客户期待X时，先校准Y。</t>
  </si>
  <si>
    <t>沟通不足</t>
  </si>
  <si>
    <t>法律判断没错，但表达、确认或留痕不足</t>
  </si>
  <si>
    <t>补充沟通动作</t>
  </si>
  <si>
    <t>沟通流程画像</t>
  </si>
  <si>
    <t>增加书面确认规则</t>
  </si>
  <si>
    <t>关注留痕，不写聊天原文</t>
  </si>
  <si>
    <t>给出方案前，先确认X。</t>
  </si>
  <si>
    <t>对方策略变化</t>
  </si>
  <si>
    <t>外部变量变化导致原策略失效或需要调整</t>
  </si>
  <si>
    <t>提炼外部变量</t>
  </si>
  <si>
    <t>外部变量判断模型</t>
  </si>
  <si>
    <t>增加转向条件</t>
  </si>
  <si>
    <t>不写对方身份细节</t>
  </si>
  <si>
    <t>若对方出现X，则从Y转为Z。</t>
  </si>
  <si>
    <t>成本超预期</t>
  </si>
  <si>
    <t>时间、金钱、精力或声誉成本超过预估</t>
  </si>
  <si>
    <t>提炼成本阈值</t>
  </si>
  <si>
    <t>成本控制画像</t>
  </si>
  <si>
    <t>修正价值排序</t>
  </si>
  <si>
    <t>金额只写区间</t>
  </si>
  <si>
    <t>当成本超过X，优先Y。</t>
  </si>
  <si>
    <t>策略无效</t>
  </si>
  <si>
    <t>策略执行后未达目标</t>
  </si>
  <si>
    <t>记录失败边界</t>
  </si>
  <si>
    <t>反例库 / 备查</t>
  </si>
  <si>
    <t>降低规则权重</t>
  </si>
  <si>
    <t>不要直接删除，先观察是否重复</t>
  </si>
  <si>
    <t>X策略在Y条件下不宜优先。</t>
  </si>
  <si>
    <t>最小使用流程</t>
  </si>
  <si>
    <t>主采集阶段</t>
  </si>
  <si>
    <t>只填案件抽象逻辑；复盘标签可留空。</t>
  </si>
  <si>
    <t>目标：不增加客户负担。</t>
  </si>
  <si>
    <t>筛选 A/B 级样本，补 1 个复盘标签。</t>
  </si>
  <si>
    <t>目标：初步判断强化、修正或备查。</t>
  </si>
  <si>
    <t>把高价值记录改写成画像句式。</t>
  </si>
  <si>
    <t>目标：形成可调用的轻量记忆。</t>
  </si>
  <si>
    <t>入库判断：正向标签用于强化画像；误判/失控/成本类标签用于建立反例边界；外部变化类标签用于更新策略转向条件。画像更新动作是最终入库动作字段，由负责人清洗时填写。凡是无法脱敏、无法抽象成行为逻辑、无法对应控制目标的记录，不进入画像库。</t>
  </si>
  <si>
    <t>入库判断：正向标签用于强化画像；误判/失控/成本类标签用于建立反例边界；外部变化类标签用于更新策略转向条件。凡是无法脱敏、无法抽象成行为逻辑、无法对应控制目标的记录，不进入画像库。</t>
  </si>
  <si>
    <t>画像更新动作怎么用｜由负责人清洗阶段填写</t>
  </si>
  <si>
    <t>“画像更新动作”不是客户采集字段，而是你在周清洗/月复盘时，根据复盘标签、结果/复盘、可复用规则、入库等级综合判断后填写。它回答的是：这条素材进入画像库后，应该怎样更新律师画像。</t>
  </si>
  <si>
    <t>画像更新动作</t>
  </si>
  <si>
    <t>适用条件</t>
  </si>
  <si>
    <t>对应复盘标签</t>
  </si>
  <si>
    <t>处理方式</t>
  </si>
  <si>
    <t>强化旧规则</t>
  </si>
  <si>
    <t>原判断或策略被结果验证</t>
  </si>
  <si>
    <t>判断准确 / 策略有效 / 情绪治理有效</t>
  </si>
  <si>
    <t>提炼触发条件，加入既有规则</t>
  </si>
  <si>
    <t>核心画像 / 策略画像 / 沟通温度画像</t>
  </si>
  <si>
    <t>必须补充适用边界，避免把一次成功当成绝对规律</t>
  </si>
  <si>
    <t>遇到X，继续优先Y；但Z出现时需转向。</t>
  </si>
  <si>
    <t>原判断方向基本可用，但边界、顺序或权重需要调整</t>
  </si>
  <si>
    <t>证据误判 / 程序节点失误 / 客户预期失控 / 沟通不足 / 成本超预期</t>
  </si>
  <si>
    <t>保留原规则，补充限制条件或前置检查</t>
  </si>
  <si>
    <t>不要直接删除旧规则，先降低权重并写清错在什么条件</t>
  </si>
  <si>
    <t>原规则X在Y条件下要改为Z。</t>
  </si>
  <si>
    <t>新增规则</t>
  </si>
  <si>
    <t>出现原画像库没有覆盖的新判断模式</t>
  </si>
  <si>
    <t>任意标签均可，但需有可复用规则</t>
  </si>
  <si>
    <t>新增一条画像规则</t>
  </si>
  <si>
    <t>新增画像条目</t>
  </si>
  <si>
    <t>只有能抽象成行为逻辑才新增，不因个案细节新增</t>
  </si>
  <si>
    <t>遇到X，倾向Y；但如果Z，则改走W。</t>
  </si>
  <si>
    <t>建立反例边界</t>
  </si>
  <si>
    <t>该记录说明某条旧规则在特定条件下不成立</t>
  </si>
  <si>
    <t>证据误判 / 策略无效 / 成本超预期 / 客户预期失控</t>
  </si>
  <si>
    <t>写入反例库，不覆盖主规则</t>
  </si>
  <si>
    <t>反例边界 / 备查</t>
  </si>
  <si>
    <t>反例要写触发条件，不写案件细节</t>
  </si>
  <si>
    <t>更新触发条件</t>
  </si>
  <si>
    <t>外部变量变化导致策略需要转向</t>
  </si>
  <si>
    <t>对方策略变化 / 程序节点变化 / 成本超预期</t>
  </si>
  <si>
    <t>补充“何时转向”的判断条件</t>
  </si>
  <si>
    <t>重点写信号，不写对方身份细节</t>
  </si>
  <si>
    <t>若出现X信号，则从Y转为Z。</t>
  </si>
  <si>
    <t>不入库</t>
  </si>
  <si>
    <t>无法脱敏、无法抽象、结果未明、只有情绪无判断逻辑</t>
  </si>
  <si>
    <t>未知 / 待复盘 / 低价值样本</t>
  </si>
  <si>
    <t>保留原表或删除，不进入画像库</t>
  </si>
  <si>
    <t>宁缺毋滥；不把案件事实当画像</t>
  </si>
  <si>
    <t>该记录暂不形成稳定画像。</t>
  </si>
  <si>
    <t>字段分工：客户只填案件抽象判断素材；复盘标签、脱敏状态、入库等级、清洗备注、画像更新动作均由负责人填写。用户版不展示这些内部加工字段。</t>
  </si>
  <si>
    <t>入库前最小检查：① 脱敏状态=已脱敏；② 入库等级=A/B；③ 有可复用规则；④ 有复盘标签；⑤ 有画像更新动作。缺任一项，原则上不进入正式画像库。</t>
  </si>
  <si>
    <t>律师客户画像｜极简脱敏采集表（每个关键节点一行）</t>
  </si>
  <si>
    <t>填写原则：只采集抽象判断逻辑，不填案件细节。必填列带 *。每行建议 3 分钟内完成；未知可留空。“可复用规则”优先使用：遇到X，倾向Y；但如果Z，则改走W。</t>
  </si>
  <si>
    <t>总行数</t>
  </si>
  <si>
    <t>待清洗</t>
  </si>
  <si>
    <t>A核心画像</t>
  </si>
  <si>
    <t>禁止入库</t>
  </si>
  <si>
    <t>填写完整率提示</t>
  </si>
  <si>
    <t>建议每周由负责人筛选 A/B 级样本入轻量画像库；复盘标签定位模型更新信号，画像更新动作由负责人在清洗阶段填写。</t>
  </si>
  <si>
    <t>采集ID</t>
  </si>
  <si>
    <t>采集日期*</t>
  </si>
  <si>
    <t>数据来源*</t>
  </si>
  <si>
    <t>案件类型*</t>
  </si>
  <si>
    <t>阶段*</t>
  </si>
  <si>
    <t>冲突结构*</t>
  </si>
  <si>
    <t>角色格局</t>
  </si>
  <si>
    <t>客户核心诉求</t>
  </si>
  <si>
    <t>关键约束</t>
  </si>
  <si>
    <t>第一判断*</t>
  </si>
  <si>
    <t>判断理由_抽象</t>
  </si>
  <si>
    <t>策略选择*</t>
  </si>
  <si>
    <t>价值排序</t>
  </si>
  <si>
    <t>风险沟通方式</t>
  </si>
  <si>
    <t>处理温度</t>
  </si>
  <si>
    <t>结果/复盘</t>
  </si>
  <si>
    <t>可复用规则</t>
  </si>
  <si>
    <t>脱敏状态*</t>
  </si>
  <si>
    <t>入库等级*</t>
  </si>
  <si>
    <t>清洗备注</t>
  </si>
  <si>
    <t>下拉字典｜字段枚举维护区</t>
  </si>
  <si>
    <t>数据来源</t>
  </si>
  <si>
    <t>案件类型_抽象</t>
  </si>
  <si>
    <t>案件阶段</t>
  </si>
  <si>
    <t>冲突结构</t>
  </si>
  <si>
    <t>第一判断</t>
  </si>
  <si>
    <t>策略选择</t>
  </si>
  <si>
    <t>结果状态</t>
  </si>
  <si>
    <t>入库等级</t>
  </si>
  <si>
    <t>脱敏状态</t>
  </si>
  <si>
    <t>历史案件复盘</t>
  </si>
  <si>
    <t>民事合同</t>
  </si>
  <si>
    <t>咨询</t>
  </si>
  <si>
    <t>履行争议</t>
  </si>
  <si>
    <t>强弱明显</t>
  </si>
  <si>
    <t>止损</t>
  </si>
  <si>
    <t>证据不足</t>
  </si>
  <si>
    <t>可接</t>
  </si>
  <si>
    <t>证据先行</t>
  </si>
  <si>
    <t>胜率优先</t>
  </si>
  <si>
    <t>直说高风险</t>
  </si>
  <si>
    <t>冷静理性</t>
  </si>
  <si>
    <t>未知</t>
  </si>
  <si>
    <t>已脱敏</t>
  </si>
  <si>
    <t>新案咨询</t>
  </si>
  <si>
    <t>商事公司</t>
  </si>
  <si>
    <t>接案评估</t>
  </si>
  <si>
    <t>权利边界</t>
  </si>
  <si>
    <t>资源对等</t>
  </si>
  <si>
    <t>争取赔偿</t>
  </si>
  <si>
    <t>成本限制</t>
  </si>
  <si>
    <t>谨慎接</t>
  </si>
  <si>
    <t>程序卡点</t>
  </si>
  <si>
    <t>成本优先</t>
  </si>
  <si>
    <t>先安抚再纠偏</t>
  </si>
  <si>
    <t>强安抚</t>
  </si>
  <si>
    <t>阶段有效</t>
  </si>
  <si>
    <t>B可用样本</t>
  </si>
  <si>
    <t>需清洗</t>
  </si>
  <si>
    <t>策略会议</t>
  </si>
  <si>
    <t>劳动用工</t>
  </si>
  <si>
    <t>证据整理</t>
  </si>
  <si>
    <t>事实真假</t>
  </si>
  <si>
    <t>多方博弈</t>
  </si>
  <si>
    <t>恢复关系</t>
  </si>
  <si>
    <t>时间紧迫</t>
  </si>
  <si>
    <t>不建议接</t>
  </si>
  <si>
    <t>和解优先</t>
  </si>
  <si>
    <t>时间优先</t>
  </si>
  <si>
    <t>列选项</t>
  </si>
  <si>
    <t>强边界</t>
  </si>
  <si>
    <t>部分成功</t>
  </si>
  <si>
    <t>C仅备查</t>
  </si>
  <si>
    <t>证据审查</t>
  </si>
  <si>
    <t>婚姻家事</t>
  </si>
  <si>
    <t>立案/应诉</t>
  </si>
  <si>
    <t>责任分配</t>
  </si>
  <si>
    <t>熟人社会</t>
  </si>
  <si>
    <t>确认边界</t>
  </si>
  <si>
    <t>对方强势</t>
  </si>
  <si>
    <t>需补证</t>
  </si>
  <si>
    <t>强硬诉讼</t>
  </si>
  <si>
    <t>关系优先</t>
  </si>
  <si>
    <t>红线提醒</t>
  </si>
  <si>
    <t>共情后纠偏</t>
  </si>
  <si>
    <t>成功</t>
  </si>
  <si>
    <t>D不入库</t>
  </si>
  <si>
    <t>庭前准备</t>
  </si>
  <si>
    <t>侵权赔偿</t>
  </si>
  <si>
    <t>庭前</t>
  </si>
  <si>
    <t>程序障碍</t>
  </si>
  <si>
    <t>家族/共同体</t>
  </si>
  <si>
    <t>保全资产</t>
  </si>
  <si>
    <t>程序风险</t>
  </si>
  <si>
    <t>建议调解</t>
  </si>
  <si>
    <t>低成本试探</t>
  </si>
  <si>
    <t>底线优先</t>
  </si>
  <si>
    <t>概率表达</t>
  </si>
  <si>
    <t>压住客户冲动</t>
  </si>
  <si>
    <t>失败</t>
  </si>
  <si>
    <t>庭审/听证</t>
  </si>
  <si>
    <t>建设工程</t>
  </si>
  <si>
    <t>证据缺口</t>
  </si>
  <si>
    <t>企业内部</t>
  </si>
  <si>
    <t>惩戒对方</t>
  </si>
  <si>
    <t>法律不确定</t>
  </si>
  <si>
    <t>建议诉讼</t>
  </si>
  <si>
    <t>风险隔离</t>
  </si>
  <si>
    <t>风险优先</t>
  </si>
  <si>
    <t>书面确认</t>
  </si>
  <si>
    <t>推动客户决策</t>
  </si>
  <si>
    <t>撤回</t>
  </si>
  <si>
    <t>调解/谈判</t>
  </si>
  <si>
    <t>知识产权</t>
  </si>
  <si>
    <t>情绪对抗</t>
  </si>
  <si>
    <t>公权力介入</t>
  </si>
  <si>
    <t>降低刑责</t>
  </si>
  <si>
    <t>客户情绪强</t>
  </si>
  <si>
    <t>建议保守</t>
  </si>
  <si>
    <t>谈判施压</t>
  </si>
  <si>
    <t>尊严优先</t>
  </si>
  <si>
    <t>反问校准预期</t>
  </si>
  <si>
    <t>保护弱者感受</t>
  </si>
  <si>
    <t>等待复盘</t>
  </si>
  <si>
    <t>文书修改</t>
  </si>
  <si>
    <t>刑事辩护</t>
  </si>
  <si>
    <t>判后</t>
  </si>
  <si>
    <t>利益重组</t>
  </si>
  <si>
    <t>平台/机构介入</t>
  </si>
  <si>
    <t>争取时间</t>
  </si>
  <si>
    <t>舆情/声誉</t>
  </si>
  <si>
    <t>建议强攻</t>
  </si>
  <si>
    <t>舆情降温</t>
  </si>
  <si>
    <t>合规优先</t>
  </si>
  <si>
    <t>先给底线再给方案</t>
  </si>
  <si>
    <t>拆除幻想预期</t>
  </si>
  <si>
    <t>判后/执行</t>
  </si>
  <si>
    <t>行政争议</t>
  </si>
  <si>
    <t>执行</t>
  </si>
  <si>
    <t>其他</t>
  </si>
  <si>
    <t>保名誉</t>
  </si>
  <si>
    <t>商业关系不能破</t>
  </si>
  <si>
    <t>建议先发函</t>
  </si>
  <si>
    <t>刑民交叉处理</t>
  </si>
  <si>
    <t>长期利益优先</t>
  </si>
  <si>
    <t>执行异议</t>
  </si>
  <si>
    <t>复盘</t>
  </si>
  <si>
    <t>合规整改</t>
  </si>
  <si>
    <t>执行困难</t>
  </si>
  <si>
    <t>建议合规整改</t>
  </si>
  <si>
    <t>分阶段推进</t>
  </si>
  <si>
    <t>数据/AI合规</t>
  </si>
  <si>
    <t>需专家会诊</t>
  </si>
  <si>
    <t>清洗入库规则｜从采集表到画像记忆库</t>
  </si>
  <si>
    <t>负责人定期把 01_极简采集表 中 A/B 级样本清洗成轻量画像文本；C级仅备查；D级不入库。高级版可将清洗后的抽象规则写入阿里云记忆库，不写案件细节。</t>
  </si>
  <si>
    <t>具体规则</t>
  </si>
  <si>
    <t>入库标准</t>
  </si>
  <si>
    <t>示例输出</t>
  </si>
  <si>
    <t>1. 去标识</t>
  </si>
  <si>
    <t>删除姓名、案号、地名、法院、公司、精确金额、证据原文。</t>
  </si>
  <si>
    <t>不得逆推出具体案件。</t>
  </si>
  <si>
    <t>某商事案件/金额区间/相对方A</t>
  </si>
  <si>
    <t>2. 合并同义标签</t>
  </si>
  <si>
    <t>把相近表达归一，如“先稳住客户”“先安抚”统一到“先安抚再纠偏”。</t>
  </si>
  <si>
    <t>标签可统计。</t>
  </si>
  <si>
    <t>风险沟通方式=先安抚再纠偏</t>
  </si>
  <si>
    <t>3. 提炼判断条件</t>
  </si>
  <si>
    <t>把理由改写成条件句。</t>
  </si>
  <si>
    <t>能形成“遇到X倾向Y”。</t>
  </si>
  <si>
    <t>遇到证据断裂且客户强诉，倾向先补证。</t>
  </si>
  <si>
    <t>4. 加入反例条件</t>
  </si>
  <si>
    <t>补充什么情况下不按该规则处理。</t>
  </si>
  <si>
    <t>能形成边界。</t>
  </si>
  <si>
    <t>但如果临近时效，则先保程序入口。</t>
  </si>
  <si>
    <t>5. 归入画像维度</t>
  </si>
  <si>
    <t>分到策略、温度、风险、价值排序、沟通风格等维度。</t>
  </si>
  <si>
    <t>每条只进一个主维度，可有副标签。</t>
  </si>
  <si>
    <t>主维度=风险沟通；副标签=预期管理</t>
  </si>
  <si>
    <t>6. 评级入库</t>
  </si>
  <si>
    <t>A核心画像直接入库；B可用样本整理后入库；C仅备查；D不入库。</t>
  </si>
  <si>
    <t>高质量优先。</t>
  </si>
  <si>
    <t>A：高复用、高代表性、低敏感。</t>
  </si>
  <si>
    <t>7. 形成轻量画像语句</t>
  </si>
  <si>
    <t>输出为短句，不超过80字。</t>
  </si>
  <si>
    <t>便于模型调用。</t>
  </si>
  <si>
    <t>该律师面对证据不足但客户强诉时，通常先降预期并要求补证。</t>
  </si>
  <si>
    <t>8. 记录来源</t>
  </si>
  <si>
    <t>只记录采集ID，不记录案件详情。</t>
  </si>
  <si>
    <t>可回溯采集表行。</t>
  </si>
  <si>
    <t>source_case_id=LPI-0007</t>
  </si>
  <si>
    <t>9. 定期复核</t>
  </si>
  <si>
    <t>每月删除过期、偏差大、与新样本冲突的规则。</t>
  </si>
  <si>
    <t>画像可更新。</t>
  </si>
  <si>
    <t>若新样本反复推翻旧规则，则降级或删除。</t>
  </si>
  <si>
    <t>10. 入高级记忆库</t>
  </si>
  <si>
    <t>仅写入抽象规则、偏好、判断模式、沟通模式。</t>
  </si>
  <si>
    <t>禁止写入事实细节。</t>
  </si>
  <si>
    <t>strategy_preference: 证据先行；risk_style: 直说红线。</t>
  </si>
  <si>
    <t>11. 输出前检查</t>
  </si>
  <si>
    <t>进入记忆库前执行脱敏状态=已脱敏，入库等级=A/B。</t>
  </si>
  <si>
    <t>不满足则不得入库。</t>
  </si>
  <si>
    <t>筛选条件：R=已脱敏，S=A/B。</t>
  </si>
  <si>
    <t>画像维度建议</t>
  </si>
  <si>
    <t>维度</t>
  </si>
  <si>
    <t>应记录什么</t>
  </si>
  <si>
    <t>不记录什么</t>
  </si>
  <si>
    <t>入库句式</t>
  </si>
  <si>
    <t>案件识别</t>
  </si>
  <si>
    <t>律师如何判断案件类型和核心冲突</t>
  </si>
  <si>
    <t>具体案情、当事人身份</t>
  </si>
  <si>
    <t>面对【冲突结构】时，优先识别【关键约束】。</t>
  </si>
  <si>
    <t>策略偏好</t>
  </si>
  <si>
    <t>诉讼/调解/证据/程序/谈判的取舍</t>
  </si>
  <si>
    <t>诉讼材料原文</t>
  </si>
  <si>
    <t>当【条件】出现时，倾向采用【策略】。</t>
  </si>
  <si>
    <t>风险偏好</t>
  </si>
  <si>
    <t>保守、强攻、分阶段、底线控制</t>
  </si>
  <si>
    <t>具体输赢结果细节</t>
  </si>
  <si>
    <t>若【风险】高于【收益】，倾向先止损。</t>
  </si>
  <si>
    <t>沟通温度</t>
  </si>
  <si>
    <t>安抚、纠偏、压冲动、给红线</t>
  </si>
  <si>
    <t>客户隐私和情绪细节</t>
  </si>
  <si>
    <t>面对【客户状态】，先【沟通动作】，再【法律判断】。</t>
  </si>
  <si>
    <t>胜率、成本、时间、关系、尊严、合规</t>
  </si>
  <si>
    <t>个人价值评价</t>
  </si>
  <si>
    <t>在【场景】中，优先保护【价值】。</t>
  </si>
  <si>
    <t>反例边界</t>
  </si>
  <si>
    <t>规则什么时候不成立</t>
  </si>
  <si>
    <t>具体反例案件细节</t>
  </si>
  <si>
    <t>但如果【反例条件】，则改走【替代策略】。</t>
  </si>
  <si>
    <t>复盘修正</t>
  </si>
  <si>
    <t>误判原因与模型更新</t>
  </si>
  <si>
    <t>责任归咎、当事人细节</t>
  </si>
  <si>
    <t>旧判断因【新观察】被修正为【新规则】。</t>
  </si>
  <si>
    <t>复盘标签使用规则</t>
  </si>
  <si>
    <t>1. 不作为必填项</t>
  </si>
  <si>
    <t>主采集阶段可空；周清洗/月复盘时由负责人补齐。</t>
  </si>
  <si>
    <t>减少客户负担。</t>
  </si>
  <si>
    <t>U列=复盘标签</t>
  </si>
  <si>
    <t>2. 只贴一个主标签</t>
  </si>
  <si>
    <t>优先选最能解释本次结果的标签。</t>
  </si>
  <si>
    <t>便于统计与模型更新。</t>
  </si>
  <si>
    <t>如：证据误判/策略有效</t>
  </si>
  <si>
    <t>3. 触发规则修正</t>
  </si>
  <si>
    <t>出现误判、成本超预期、客户预期失控时，要补一句抽象原因。</t>
  </si>
  <si>
    <t>能进入反例边界。</t>
  </si>
  <si>
    <t>但如果X，则改走Y。</t>
  </si>
  <si>
    <t>4. 进入画像更新</t>
  </si>
  <si>
    <t>高价值复盘标签配合可复用规则，清洗为画像记忆。</t>
  </si>
  <si>
    <t>只保留行为逻辑。</t>
  </si>
  <si>
    <t>旧判断因【新观察】修正为【新规则】。</t>
  </si>
  <si>
    <t>脱敏样例｜如何把案件事实转成画像记忆素材</t>
  </si>
  <si>
    <t>这些是示范，不包含真实案件信息。重点看：不写人名、案号、法院、精确金额、证据原文；只记录判断逻辑和可复用规则。</t>
  </si>
  <si>
    <t>LPI-S001</t>
  </si>
  <si>
    <t>法律关系不复杂，但关键履行证据断裂，客户对胜率预期偏高。</t>
  </si>
  <si>
    <t>阶段有效：客户接受先补证再决定是否诉讼。</t>
  </si>
  <si>
    <t>遇到证据断裂但客户强诉，倾向先补证和降预期；但如果临近时效，则先保全程序入口。</t>
  </si>
  <si>
    <t>可入库：体现风险优先和预期管理。</t>
  </si>
  <si>
    <t>LPI-S002</t>
  </si>
  <si>
    <t>客户情绪强，但金额区间较小，诉讼成本会吞掉部分收益。</t>
  </si>
  <si>
    <t>部分成功：达成阶段性和解。</t>
  </si>
  <si>
    <t>遇到小额高情绪案件，倾向先算成本账再谈尊严账；但如果存在示范性风险，则保留诉讼压力。</t>
  </si>
  <si>
    <t>可入库：体现成本/情绪双治理。</t>
  </si>
  <si>
    <t>LPI-S003</t>
  </si>
  <si>
    <t>对方有明显转移风险，等待谈判会降低可执行性。</t>
  </si>
  <si>
    <t>未知：已建议先做保全准备。</t>
  </si>
  <si>
    <t>遇到资产转移风险，倾向先锁定执行可能性；但如果证据基础不足，则先做低成本事实核验。</t>
  </si>
  <si>
    <t>待后续结果复盘。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</si>
</sst>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35">
    <font>
      <sz val="11"/>
      <name val="Carlito"/>
      <charset val="134"/>
    </font>
    <font>
      <b/>
      <sz val="18"/>
      <color rgb="FFFFFFFF"/>
      <name val="Carlito"/>
      <charset val="134"/>
    </font>
    <font>
      <sz val="10"/>
      <color rgb="FF334155"/>
      <name val="Carlito"/>
      <charset val="134"/>
    </font>
    <font>
      <b/>
      <sz val="10"/>
      <color rgb="FFFFFFFF"/>
      <name val="Carlito"/>
      <charset val="134"/>
    </font>
    <font>
      <b/>
      <sz val="12"/>
      <color rgb="FFFFFFFF"/>
      <name val="Carlito"/>
      <charset val="134"/>
    </font>
    <font>
      <b/>
      <sz val="10"/>
      <color rgb="FF0F172A"/>
      <name val="Carlito"/>
      <charset val="134"/>
    </font>
    <font>
      <b/>
      <sz val="11"/>
      <color rgb="FFFFFFFF"/>
      <name val="Carlito"/>
      <charset val="134"/>
    </font>
    <font>
      <b/>
      <sz val="11"/>
      <name val="Carlito"/>
      <charset val="134"/>
    </font>
    <font>
      <sz val="10"/>
      <color rgb="FF111827"/>
      <name val="Carlito"/>
      <charset val="134"/>
    </font>
    <font>
      <b/>
      <sz val="10"/>
      <color rgb="FF92400E"/>
      <name val="Carlito"/>
      <charset val="134"/>
    </font>
    <font>
      <sz val="11"/>
      <color rgb="FF334155"/>
      <name val="Carlito"/>
      <charset val="134"/>
    </font>
    <font>
      <sz val="11"/>
      <color rgb="FF111827"/>
      <name val="Carlito"/>
      <charset val="134"/>
    </font>
    <font>
      <b/>
      <sz val="11"/>
      <color rgb="FF0F172A"/>
      <name val="Carlito"/>
      <charset val="134"/>
    </font>
    <font>
      <b/>
      <sz val="11"/>
      <color rgb="FF92400E"/>
      <name val="Carlito"/>
      <charset val="134"/>
    </font>
    <font>
      <b/>
      <sz val="11"/>
      <color rgb="FF1F4E78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1E3A8A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334155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5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14" borderId="1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2" applyNumberFormat="0" applyFill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5" borderId="4" applyNumberFormat="0" applyAlignment="0" applyProtection="0">
      <alignment vertical="center"/>
    </xf>
    <xf numFmtId="0" fontId="25" fillId="16" borderId="5" applyNumberFormat="0" applyAlignment="0" applyProtection="0">
      <alignment vertical="center"/>
    </xf>
    <xf numFmtId="0" fontId="26" fillId="16" borderId="4" applyNumberFormat="0" applyAlignment="0" applyProtection="0">
      <alignment vertical="center"/>
    </xf>
    <xf numFmtId="0" fontId="27" fillId="17" borderId="6" applyNumberFormat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4" fillId="43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0" fillId="0" borderId="0"/>
  </cellStyleXfs>
  <cellXfs count="31">
    <xf numFmtId="0" fontId="0" fillId="0" borderId="0" xfId="49"/>
    <xf numFmtId="0" fontId="1" fillId="2" borderId="0" xfId="49" applyNumberFormat="1" applyFont="1" applyFill="1" applyBorder="1" applyAlignment="1">
      <alignment horizontal="left" vertical="center"/>
    </xf>
    <xf numFmtId="0" fontId="2" fillId="3" borderId="0" xfId="49" applyNumberFormat="1" applyFont="1" applyFill="1" applyBorder="1" applyAlignment="1">
      <alignment vertical="top" wrapText="1"/>
    </xf>
    <xf numFmtId="0" fontId="3" fillId="4" borderId="0" xfId="49" applyNumberFormat="1" applyFont="1" applyFill="1" applyBorder="1" applyAlignment="1">
      <alignment horizontal="center" vertical="center"/>
    </xf>
    <xf numFmtId="176" fontId="2" fillId="3" borderId="0" xfId="49" applyNumberFormat="1" applyFont="1" applyFill="1" applyBorder="1" applyAlignment="1">
      <alignment vertical="top" wrapText="1"/>
    </xf>
    <xf numFmtId="0" fontId="0" fillId="0" borderId="0" xfId="49" applyNumberFormat="1" applyFont="1" applyFill="1" applyBorder="1" applyAlignment="1">
      <alignment wrapText="1"/>
    </xf>
    <xf numFmtId="0" fontId="4" fillId="5" borderId="0" xfId="49" applyNumberFormat="1" applyFont="1" applyFill="1" applyBorder="1" applyAlignment="1">
      <alignment horizontal="left" vertical="center"/>
    </xf>
    <xf numFmtId="0" fontId="5" fillId="6" borderId="0" xfId="49" applyNumberFormat="1" applyFont="1" applyFill="1" applyBorder="1" applyAlignment="1">
      <alignment horizontal="center" vertical="center" wrapText="1"/>
    </xf>
    <xf numFmtId="0" fontId="6" fillId="7" borderId="0" xfId="49" applyNumberFormat="1" applyFont="1" applyFill="1" applyBorder="1" applyAlignment="1">
      <alignment wrapText="1"/>
    </xf>
    <xf numFmtId="0" fontId="7" fillId="0" borderId="0" xfId="49" applyNumberFormat="1" applyFont="1" applyFill="1" applyBorder="1" applyAlignment="1">
      <alignment wrapText="1"/>
    </xf>
    <xf numFmtId="0" fontId="5" fillId="6" borderId="0" xfId="49" applyNumberFormat="1" applyFont="1" applyFill="1" applyBorder="1" applyAlignment="1">
      <alignment horizontal="center" vertical="center"/>
    </xf>
    <xf numFmtId="0" fontId="3" fillId="4" borderId="0" xfId="49" applyNumberFormat="1" applyFont="1" applyFill="1" applyBorder="1" applyAlignment="1">
      <alignment horizontal="center" vertical="center" wrapText="1"/>
    </xf>
    <xf numFmtId="0" fontId="8" fillId="8" borderId="0" xfId="49" applyNumberFormat="1" applyFont="1" applyFill="1" applyBorder="1" applyAlignment="1">
      <alignment vertical="top" wrapText="1"/>
    </xf>
    <xf numFmtId="176" fontId="8" fillId="8" borderId="0" xfId="49" applyNumberFormat="1" applyFont="1" applyFill="1" applyBorder="1" applyAlignment="1">
      <alignment vertical="top" wrapText="1"/>
    </xf>
    <xf numFmtId="0" fontId="1" fillId="2" borderId="0" xfId="49" applyNumberFormat="1" applyFont="1" applyFill="1" applyBorder="1" applyAlignment="1">
      <alignment horizontal="left" vertical="center" wrapText="1"/>
    </xf>
    <xf numFmtId="0" fontId="4" fillId="5" borderId="0" xfId="49" applyNumberFormat="1" applyFont="1" applyFill="1" applyBorder="1" applyAlignment="1">
      <alignment horizontal="left" vertical="center" wrapText="1"/>
    </xf>
    <xf numFmtId="0" fontId="9" fillId="9" borderId="0" xfId="49" applyNumberFormat="1" applyFont="1" applyFill="1" applyBorder="1" applyAlignment="1">
      <alignment vertical="top" wrapText="1"/>
    </xf>
    <xf numFmtId="0" fontId="6" fillId="7" borderId="0" xfId="49" applyNumberFormat="1" applyFont="1" applyFill="1" applyBorder="1"/>
    <xf numFmtId="0" fontId="6" fillId="2" borderId="0" xfId="49" applyNumberFormat="1" applyFont="1" applyFill="1" applyBorder="1" applyAlignment="1">
      <alignment horizontal="left" vertical="top" wrapText="1"/>
    </xf>
    <xf numFmtId="0" fontId="0" fillId="0" borderId="0" xfId="49" applyNumberFormat="1" applyFont="1" applyFill="1" applyBorder="1" applyAlignment="1">
      <alignment vertical="top" wrapText="1"/>
    </xf>
    <xf numFmtId="0" fontId="10" fillId="3" borderId="0" xfId="49" applyNumberFormat="1" applyFont="1" applyFill="1" applyBorder="1" applyAlignment="1">
      <alignment vertical="top" wrapText="1"/>
    </xf>
    <xf numFmtId="0" fontId="6" fillId="10" borderId="0" xfId="49" applyNumberFormat="1" applyFont="1" applyFill="1" applyBorder="1" applyAlignment="1">
      <alignment horizontal="center" vertical="top" wrapText="1"/>
    </xf>
    <xf numFmtId="0" fontId="11" fillId="8" borderId="0" xfId="49" applyNumberFormat="1" applyFont="1" applyFill="1" applyBorder="1" applyAlignment="1">
      <alignment vertical="top" wrapText="1"/>
    </xf>
    <xf numFmtId="0" fontId="11" fillId="3" borderId="0" xfId="49" applyNumberFormat="1" applyFont="1" applyFill="1" applyBorder="1" applyAlignment="1">
      <alignment vertical="top" wrapText="1"/>
    </xf>
    <xf numFmtId="0" fontId="12" fillId="11" borderId="0" xfId="49" applyNumberFormat="1" applyFont="1" applyFill="1" applyBorder="1" applyAlignment="1">
      <alignment horizontal="left" vertical="top" wrapText="1"/>
    </xf>
    <xf numFmtId="0" fontId="6" fillId="12" borderId="0" xfId="49" applyNumberFormat="1" applyFont="1" applyFill="1" applyBorder="1" applyAlignment="1">
      <alignment horizontal="center" vertical="top" wrapText="1"/>
    </xf>
    <xf numFmtId="0" fontId="12" fillId="0" borderId="0" xfId="49" applyNumberFormat="1" applyFont="1" applyFill="1" applyBorder="1" applyAlignment="1">
      <alignment vertical="top" wrapText="1"/>
    </xf>
    <xf numFmtId="0" fontId="11" fillId="0" borderId="0" xfId="49" applyNumberFormat="1" applyFont="1" applyFill="1" applyBorder="1" applyAlignment="1">
      <alignment vertical="top" wrapText="1"/>
    </xf>
    <xf numFmtId="0" fontId="13" fillId="9" borderId="0" xfId="49" applyNumberFormat="1" applyFont="1" applyFill="1" applyBorder="1" applyAlignment="1">
      <alignment vertical="top" wrapText="1"/>
    </xf>
    <xf numFmtId="0" fontId="4" fillId="7" borderId="0" xfId="49" applyNumberFormat="1" applyFont="1" applyFill="1" applyBorder="1" applyAlignment="1">
      <alignment horizontal="center" vertical="center" wrapText="1"/>
    </xf>
    <xf numFmtId="0" fontId="14" fillId="13" borderId="0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0">
    <dxf>
      <font>
        <b val="1"/>
        <color rgb="FF991B1B"/>
      </font>
      <fill>
        <patternFill patternType="solid">
          <bgColor rgb="FFFEE2E2"/>
        </patternFill>
      </fill>
    </dxf>
    <dxf>
      <font>
        <b val="1"/>
        <color rgb="FF92400E"/>
      </font>
      <fill>
        <patternFill patternType="solid">
          <bgColor rgb="FFFEF3C7"/>
        </patternFill>
      </fill>
    </dxf>
    <dxf>
      <font>
        <b val="1"/>
        <color rgb="FF166534"/>
      </font>
      <fill>
        <patternFill patternType="solid">
          <bgColor rgb="FFDCFCE7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LawyerProfileCollection" displayName="LawyerProfileCollection" ref="A6:T206">
  <tableColumns count="20">
    <tableColumn id="1" name="采集ID"/>
    <tableColumn id="2" name="采集日期*"/>
    <tableColumn id="3" name="数据来源*"/>
    <tableColumn id="4" name="案件类型*"/>
    <tableColumn id="5" name="阶段*"/>
    <tableColumn id="6" name="冲突结构*"/>
    <tableColumn id="7" name="角色格局"/>
    <tableColumn id="8" name="客户核心诉求"/>
    <tableColumn id="9" name="关键约束"/>
    <tableColumn id="10" name="第一判断*"/>
    <tableColumn id="11" name="判断理由_抽象"/>
    <tableColumn id="12" name="策略选择*"/>
    <tableColumn id="13" name="价值排序"/>
    <tableColumn id="14" name="风险沟通方式"/>
    <tableColumn id="15" name="处理温度"/>
    <tableColumn id="16" name="结果/复盘"/>
    <tableColumn id="17" name="可复用规则"/>
    <tableColumn id="18" name="脱敏状态*"/>
    <tableColumn id="19" name="入库等级*"/>
    <tableColumn id="20" name="清洗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ampleDesensitizedCases" displayName="SampleDesensitizedCases" ref="A5:T8">
  <tableColumns count="20">
    <tableColumn id="1" name="采集ID"/>
    <tableColumn id="2" name="采集日期*"/>
    <tableColumn id="3" name="数据来源*"/>
    <tableColumn id="4" name="案件类型*"/>
    <tableColumn id="5" name="阶段*"/>
    <tableColumn id="6" name="冲突结构*"/>
    <tableColumn id="7" name="角色格局"/>
    <tableColumn id="8" name="客户核心诉求"/>
    <tableColumn id="9" name="关键约束"/>
    <tableColumn id="10" name="第一判断*"/>
    <tableColumn id="11" name="判断理由_抽象"/>
    <tableColumn id="12" name="策略选择*"/>
    <tableColumn id="13" name="价值排序"/>
    <tableColumn id="14" name="风险沟通方式"/>
    <tableColumn id="15" name="处理温度"/>
    <tableColumn id="16" name="结果/复盘"/>
    <tableColumn id="17" name="可复用规则"/>
    <tableColumn id="18" name="脱敏状态*"/>
    <tableColumn id="19" name="入库等级*"/>
    <tableColumn id="20" name="清洗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8"/>
  <sheetViews>
    <sheetView tabSelected="1" workbookViewId="0">
      <selection activeCell="A1" sqref="A1:H1"/>
    </sheetView>
  </sheetViews>
  <sheetFormatPr defaultColWidth="9" defaultRowHeight="13.8" outlineLevelCol="7"/>
  <cols>
    <col min="1" max="1" width="16" customWidth="1"/>
    <col min="2" max="2" width="24" customWidth="1"/>
    <col min="3" max="3" width="22" customWidth="1"/>
    <col min="4" max="4" width="24" customWidth="1"/>
    <col min="5" max="5" width="22" customWidth="1"/>
    <col min="6" max="7" width="28" customWidth="1"/>
    <col min="8" max="8" width="18" customWidth="1"/>
  </cols>
  <sheetData>
    <row r="1" ht="34" customHeight="1" spans="1:8">
      <c r="A1" s="14" t="s">
        <v>0</v>
      </c>
      <c r="B1" s="5"/>
      <c r="C1" s="5"/>
      <c r="D1" s="5"/>
      <c r="E1" s="5"/>
      <c r="F1" s="5"/>
      <c r="G1" s="5"/>
      <c r="H1" s="5"/>
    </row>
    <row r="2" ht="42" customHeight="1" spans="1:8">
      <c r="A2" s="2" t="s">
        <v>1</v>
      </c>
      <c r="B2" s="5"/>
      <c r="C2" s="5"/>
      <c r="D2" s="5"/>
      <c r="E2" s="5"/>
      <c r="F2" s="5"/>
      <c r="G2" s="5"/>
      <c r="H2" s="5"/>
    </row>
    <row r="3" spans="1:8">
      <c r="A3" s="5"/>
      <c r="B3" s="5"/>
      <c r="C3" s="5"/>
      <c r="D3" s="5"/>
      <c r="E3" s="5"/>
      <c r="F3" s="5"/>
      <c r="G3" s="5"/>
      <c r="H3" s="5"/>
    </row>
    <row r="4" spans="1:8">
      <c r="A4" s="5"/>
      <c r="B4" s="5"/>
      <c r="C4" s="5"/>
      <c r="D4" s="5"/>
      <c r="E4" s="5"/>
      <c r="F4" s="5"/>
      <c r="G4" s="5"/>
      <c r="H4" s="5"/>
    </row>
    <row r="5" ht="15.6" spans="1:8">
      <c r="A5" s="15" t="s">
        <v>2</v>
      </c>
      <c r="B5" s="15" t="s">
        <v>3</v>
      </c>
      <c r="C5" s="15" t="s">
        <v>3</v>
      </c>
      <c r="D5" s="15" t="s">
        <v>3</v>
      </c>
      <c r="E5" s="15" t="s">
        <v>4</v>
      </c>
      <c r="F5" s="15" t="s">
        <v>3</v>
      </c>
      <c r="G5" s="15" t="s">
        <v>3</v>
      </c>
      <c r="H5" s="15" t="s">
        <v>3</v>
      </c>
    </row>
    <row r="6" ht="38.4" spans="1:8">
      <c r="A6" s="2" t="s">
        <v>5</v>
      </c>
      <c r="B6" s="2" t="s">
        <v>6</v>
      </c>
      <c r="C6" s="2" t="s">
        <v>7</v>
      </c>
      <c r="D6" s="2" t="s">
        <v>3</v>
      </c>
      <c r="E6" s="2" t="s">
        <v>8</v>
      </c>
      <c r="F6" s="2" t="s">
        <v>9</v>
      </c>
      <c r="G6" s="2" t="s">
        <v>10</v>
      </c>
      <c r="H6" s="2" t="s">
        <v>3</v>
      </c>
    </row>
    <row r="7" ht="36" spans="1:8">
      <c r="A7" s="2" t="s">
        <v>11</v>
      </c>
      <c r="B7" s="2" t="s">
        <v>12</v>
      </c>
      <c r="C7" s="2" t="s">
        <v>13</v>
      </c>
      <c r="D7" s="2" t="s">
        <v>3</v>
      </c>
      <c r="E7" s="2" t="s">
        <v>14</v>
      </c>
      <c r="F7" s="2" t="s">
        <v>15</v>
      </c>
      <c r="G7" s="2" t="s">
        <v>16</v>
      </c>
      <c r="H7" s="2" t="s">
        <v>3</v>
      </c>
    </row>
    <row r="8" ht="36" spans="1:8">
      <c r="A8" s="2" t="s">
        <v>17</v>
      </c>
      <c r="B8" s="2" t="s">
        <v>18</v>
      </c>
      <c r="C8" s="2" t="s">
        <v>19</v>
      </c>
      <c r="D8" s="2" t="s">
        <v>3</v>
      </c>
      <c r="E8" s="2" t="s">
        <v>20</v>
      </c>
      <c r="F8" s="2" t="s">
        <v>21</v>
      </c>
      <c r="G8" s="2" t="s">
        <v>22</v>
      </c>
      <c r="H8" s="2" t="s">
        <v>3</v>
      </c>
    </row>
    <row r="9" ht="24" spans="1:8">
      <c r="A9" s="2" t="s">
        <v>23</v>
      </c>
      <c r="B9" s="2" t="s">
        <v>24</v>
      </c>
      <c r="C9" s="2" t="s">
        <v>25</v>
      </c>
      <c r="D9" s="2" t="s">
        <v>3</v>
      </c>
      <c r="E9" s="2" t="s">
        <v>26</v>
      </c>
      <c r="F9" s="2" t="s">
        <v>27</v>
      </c>
      <c r="G9" s="2" t="s">
        <v>28</v>
      </c>
      <c r="H9" s="2" t="s">
        <v>3</v>
      </c>
    </row>
    <row r="10" ht="36" spans="1:8">
      <c r="A10" s="2" t="s">
        <v>29</v>
      </c>
      <c r="B10" s="2" t="s">
        <v>30</v>
      </c>
      <c r="C10" s="2" t="s">
        <v>31</v>
      </c>
      <c r="D10" s="2" t="s">
        <v>3</v>
      </c>
      <c r="E10" s="2" t="s">
        <v>32</v>
      </c>
      <c r="F10" s="2" t="s">
        <v>33</v>
      </c>
      <c r="G10" s="2" t="s">
        <v>34</v>
      </c>
      <c r="H10" s="2" t="s">
        <v>3</v>
      </c>
    </row>
    <row r="11" ht="24" spans="1:8">
      <c r="A11" s="2" t="s">
        <v>35</v>
      </c>
      <c r="B11" s="2" t="s">
        <v>36</v>
      </c>
      <c r="C11" s="2" t="s">
        <v>37</v>
      </c>
      <c r="D11" s="2" t="s">
        <v>3</v>
      </c>
      <c r="E11" s="2" t="s">
        <v>38</v>
      </c>
      <c r="F11" s="2" t="s">
        <v>39</v>
      </c>
      <c r="G11" s="2" t="s">
        <v>40</v>
      </c>
      <c r="H11" s="2" t="s">
        <v>3</v>
      </c>
    </row>
    <row r="12" spans="1:8">
      <c r="A12" s="5"/>
      <c r="B12" s="5"/>
      <c r="C12" s="5"/>
      <c r="D12" s="5"/>
      <c r="E12" s="5"/>
      <c r="F12" s="5"/>
      <c r="G12" s="5"/>
      <c r="H12" s="5"/>
    </row>
    <row r="13" ht="15.6" spans="1:8">
      <c r="A13" s="15" t="s">
        <v>41</v>
      </c>
      <c r="B13" s="15" t="s">
        <v>3</v>
      </c>
      <c r="C13" s="15" t="s">
        <v>3</v>
      </c>
      <c r="D13" s="15" t="s">
        <v>3</v>
      </c>
      <c r="E13" s="15" t="s">
        <v>3</v>
      </c>
      <c r="F13" s="15" t="s">
        <v>3</v>
      </c>
      <c r="G13" s="15" t="s">
        <v>3</v>
      </c>
      <c r="H13" s="15" t="s">
        <v>3</v>
      </c>
    </row>
    <row r="14" ht="25.2" spans="1:8">
      <c r="A14" s="2" t="s">
        <v>42</v>
      </c>
      <c r="B14" s="2" t="s">
        <v>43</v>
      </c>
      <c r="C14" s="2" t="s">
        <v>44</v>
      </c>
      <c r="D14" s="2" t="s">
        <v>3</v>
      </c>
      <c r="E14" s="2" t="s">
        <v>3</v>
      </c>
      <c r="F14" s="2" t="s">
        <v>3</v>
      </c>
      <c r="G14" s="2" t="s">
        <v>3</v>
      </c>
      <c r="H14" s="2" t="s">
        <v>3</v>
      </c>
    </row>
    <row r="15" ht="24" spans="1:8">
      <c r="A15" s="2" t="s">
        <v>45</v>
      </c>
      <c r="B15" s="2" t="s">
        <v>46</v>
      </c>
      <c r="C15" s="2" t="s">
        <v>47</v>
      </c>
      <c r="D15" s="2" t="s">
        <v>3</v>
      </c>
      <c r="E15" s="2" t="s">
        <v>3</v>
      </c>
      <c r="F15" s="2" t="s">
        <v>3</v>
      </c>
      <c r="G15" s="2" t="s">
        <v>3</v>
      </c>
      <c r="H15" s="2" t="s">
        <v>3</v>
      </c>
    </row>
    <row r="16" ht="24" spans="1:8">
      <c r="A16" s="2" t="s">
        <v>48</v>
      </c>
      <c r="B16" s="2" t="s">
        <v>49</v>
      </c>
      <c r="C16" s="2" t="s">
        <v>50</v>
      </c>
      <c r="D16" s="2" t="s">
        <v>3</v>
      </c>
      <c r="E16" s="2" t="s">
        <v>3</v>
      </c>
      <c r="F16" s="2" t="s">
        <v>3</v>
      </c>
      <c r="G16" s="2" t="s">
        <v>3</v>
      </c>
      <c r="H16" s="2" t="s">
        <v>3</v>
      </c>
    </row>
    <row r="17" ht="24" spans="1:8">
      <c r="A17" s="2" t="s">
        <v>51</v>
      </c>
      <c r="B17" s="2" t="s">
        <v>52</v>
      </c>
      <c r="C17" s="2" t="s">
        <v>53</v>
      </c>
      <c r="D17" s="2" t="s">
        <v>3</v>
      </c>
      <c r="E17" s="2" t="s">
        <v>3</v>
      </c>
      <c r="F17" s="2" t="s">
        <v>3</v>
      </c>
      <c r="G17" s="2" t="s">
        <v>3</v>
      </c>
      <c r="H17" s="2" t="s">
        <v>3</v>
      </c>
    </row>
    <row r="18" ht="24" spans="1:8">
      <c r="A18" s="2" t="s">
        <v>54</v>
      </c>
      <c r="B18" s="2" t="s">
        <v>55</v>
      </c>
      <c r="C18" s="2" t="s">
        <v>56</v>
      </c>
      <c r="D18" s="2" t="s">
        <v>3</v>
      </c>
      <c r="E18" s="2" t="s">
        <v>3</v>
      </c>
      <c r="F18" s="2" t="s">
        <v>3</v>
      </c>
      <c r="G18" s="2" t="s">
        <v>3</v>
      </c>
      <c r="H18" s="2" t="s">
        <v>3</v>
      </c>
    </row>
    <row r="19" ht="26.4" spans="1:8">
      <c r="A19" s="2" t="s">
        <v>57</v>
      </c>
      <c r="B19" s="2" t="s">
        <v>58</v>
      </c>
      <c r="C19" s="2" t="s">
        <v>59</v>
      </c>
      <c r="D19" s="2" t="s">
        <v>3</v>
      </c>
      <c r="E19" s="2" t="s">
        <v>3</v>
      </c>
      <c r="F19" s="2" t="s">
        <v>3</v>
      </c>
      <c r="G19" s="2" t="s">
        <v>3</v>
      </c>
      <c r="H19" s="2" t="s">
        <v>3</v>
      </c>
    </row>
    <row r="20" spans="1:8">
      <c r="A20" s="5"/>
      <c r="B20" s="5"/>
      <c r="C20" s="5"/>
      <c r="D20" s="5"/>
      <c r="E20" s="5"/>
      <c r="F20" s="5"/>
      <c r="G20" s="5"/>
      <c r="H20" s="5"/>
    </row>
    <row r="21" ht="15.6" spans="1:8">
      <c r="A21" s="15" t="s">
        <v>60</v>
      </c>
      <c r="B21" s="15" t="s">
        <v>3</v>
      </c>
      <c r="C21" s="15" t="s">
        <v>3</v>
      </c>
      <c r="D21" s="15" t="s">
        <v>3</v>
      </c>
      <c r="E21" s="15" t="s">
        <v>3</v>
      </c>
      <c r="F21" s="15" t="s">
        <v>3</v>
      </c>
      <c r="G21" s="15" t="s">
        <v>3</v>
      </c>
      <c r="H21" s="15" t="s">
        <v>3</v>
      </c>
    </row>
    <row r="22" ht="48" spans="1:8">
      <c r="A22" s="16" t="s">
        <v>61</v>
      </c>
      <c r="B22" s="16" t="s">
        <v>62</v>
      </c>
      <c r="C22" s="16" t="s">
        <v>3</v>
      </c>
      <c r="D22" s="16" t="s">
        <v>3</v>
      </c>
      <c r="E22" s="16" t="s">
        <v>3</v>
      </c>
      <c r="F22" s="16" t="s">
        <v>3</v>
      </c>
      <c r="G22" s="16" t="s">
        <v>3</v>
      </c>
      <c r="H22" s="16" t="s">
        <v>3</v>
      </c>
    </row>
    <row r="23" ht="39.6" spans="1:8">
      <c r="A23" s="16" t="s">
        <v>63</v>
      </c>
      <c r="B23" s="16" t="s">
        <v>64</v>
      </c>
      <c r="C23" s="16" t="s">
        <v>3</v>
      </c>
      <c r="D23" s="16" t="s">
        <v>3</v>
      </c>
      <c r="E23" s="16" t="s">
        <v>3</v>
      </c>
      <c r="F23" s="16" t="s">
        <v>3</v>
      </c>
      <c r="G23" s="16" t="s">
        <v>3</v>
      </c>
      <c r="H23" s="16" t="s">
        <v>3</v>
      </c>
    </row>
    <row r="24" ht="38.4" spans="1:8">
      <c r="A24" s="16" t="s">
        <v>65</v>
      </c>
      <c r="B24" s="16" t="s">
        <v>66</v>
      </c>
      <c r="C24" s="16" t="s">
        <v>3</v>
      </c>
      <c r="D24" s="16" t="s">
        <v>3</v>
      </c>
      <c r="E24" s="16" t="s">
        <v>3</v>
      </c>
      <c r="F24" s="16" t="s">
        <v>3</v>
      </c>
      <c r="G24" s="16" t="s">
        <v>3</v>
      </c>
      <c r="H24" s="16" t="s">
        <v>3</v>
      </c>
    </row>
    <row r="25" ht="38.4" spans="1:8">
      <c r="A25" s="16" t="s">
        <v>67</v>
      </c>
      <c r="B25" s="16" t="s">
        <v>68</v>
      </c>
      <c r="C25" s="16" t="s">
        <v>3</v>
      </c>
      <c r="D25" s="16" t="s">
        <v>3</v>
      </c>
      <c r="E25" s="16" t="s">
        <v>3</v>
      </c>
      <c r="F25" s="16" t="s">
        <v>3</v>
      </c>
      <c r="G25" s="16" t="s">
        <v>3</v>
      </c>
      <c r="H25" s="16" t="s">
        <v>3</v>
      </c>
    </row>
    <row r="26" ht="38.4" spans="1:8">
      <c r="A26" s="16" t="s">
        <v>69</v>
      </c>
      <c r="B26" s="16" t="s">
        <v>70</v>
      </c>
      <c r="C26" s="16" t="s">
        <v>3</v>
      </c>
      <c r="D26" s="16" t="s">
        <v>3</v>
      </c>
      <c r="E26" s="16" t="s">
        <v>3</v>
      </c>
      <c r="F26" s="16" t="s">
        <v>3</v>
      </c>
      <c r="G26" s="16" t="s">
        <v>3</v>
      </c>
      <c r="H26" s="16" t="s">
        <v>3</v>
      </c>
    </row>
    <row r="28" spans="1:8">
      <c r="A28" s="17" t="s">
        <v>71</v>
      </c>
      <c r="B28" s="17"/>
      <c r="C28" s="17"/>
      <c r="D28" s="17"/>
      <c r="E28" s="17"/>
      <c r="F28" s="17"/>
      <c r="G28" s="17"/>
    </row>
    <row r="29" ht="72" spans="1:8">
      <c r="A29" s="9" t="s">
        <v>72</v>
      </c>
      <c r="B29" s="5" t="s">
        <v>73</v>
      </c>
      <c r="C29" s="5"/>
      <c r="D29" s="5"/>
      <c r="E29" s="5"/>
      <c r="F29" s="5"/>
      <c r="G29" s="5"/>
    </row>
    <row r="30" ht="43.2" spans="1:8">
      <c r="A30" s="9" t="s">
        <v>74</v>
      </c>
      <c r="B30" s="5" t="s">
        <v>75</v>
      </c>
      <c r="C30" s="5"/>
      <c r="D30" s="5"/>
      <c r="E30" s="5"/>
      <c r="F30" s="5"/>
      <c r="G30" s="5"/>
    </row>
    <row r="31" ht="57.6" spans="1:8">
      <c r="A31" s="9" t="s">
        <v>76</v>
      </c>
      <c r="B31" s="5" t="s">
        <v>77</v>
      </c>
      <c r="C31" s="5"/>
      <c r="D31" s="5"/>
      <c r="E31" s="5"/>
      <c r="F31" s="5"/>
      <c r="G31" s="5"/>
    </row>
    <row r="32" ht="24" customHeight="1" spans="1:8">
      <c r="A32" s="18" t="s">
        <v>78</v>
      </c>
      <c r="B32" s="19"/>
      <c r="C32" s="19"/>
      <c r="D32" s="19"/>
      <c r="E32" s="19"/>
      <c r="F32" s="19"/>
      <c r="G32" s="19"/>
    </row>
    <row r="33" ht="32" customHeight="1" spans="1:7">
      <c r="A33" s="20" t="s">
        <v>79</v>
      </c>
      <c r="B33" s="20"/>
      <c r="C33" s="20"/>
      <c r="D33" s="20"/>
      <c r="E33" s="20"/>
      <c r="F33" s="20"/>
      <c r="G33" s="20"/>
    </row>
    <row r="34" ht="32" customHeight="1" spans="1:7">
      <c r="A34" s="20"/>
      <c r="B34" s="20"/>
      <c r="C34" s="20"/>
      <c r="D34" s="20"/>
      <c r="E34" s="20"/>
      <c r="F34" s="20"/>
      <c r="G34" s="20"/>
    </row>
    <row r="35" spans="1:7">
      <c r="A35" s="19"/>
      <c r="B35" s="19"/>
      <c r="C35" s="19"/>
      <c r="D35" s="19"/>
      <c r="E35" s="19"/>
      <c r="F35" s="19"/>
      <c r="G35" s="19"/>
    </row>
    <row r="36" ht="28" customHeight="1" spans="1:7">
      <c r="A36" s="21" t="s">
        <v>80</v>
      </c>
      <c r="B36" s="21" t="s">
        <v>81</v>
      </c>
      <c r="C36" s="21" t="s">
        <v>82</v>
      </c>
      <c r="D36" s="21" t="s">
        <v>83</v>
      </c>
      <c r="E36" s="21" t="s">
        <v>84</v>
      </c>
      <c r="F36" s="21" t="s">
        <v>85</v>
      </c>
      <c r="G36" s="21" t="s">
        <v>86</v>
      </c>
    </row>
    <row r="37" ht="54" customHeight="1" spans="1:7">
      <c r="A37" s="22" t="s">
        <v>87</v>
      </c>
      <c r="B37" s="22" t="s">
        <v>88</v>
      </c>
      <c r="C37" s="22" t="s">
        <v>89</v>
      </c>
      <c r="D37" s="22" t="s">
        <v>90</v>
      </c>
      <c r="E37" s="22" t="s">
        <v>91</v>
      </c>
      <c r="F37" s="22" t="s">
        <v>92</v>
      </c>
      <c r="G37" s="22" t="s">
        <v>93</v>
      </c>
    </row>
    <row r="38" ht="54" customHeight="1" spans="1:7">
      <c r="A38" s="23" t="s">
        <v>94</v>
      </c>
      <c r="B38" s="23" t="s">
        <v>95</v>
      </c>
      <c r="C38" s="23" t="s">
        <v>96</v>
      </c>
      <c r="D38" s="23" t="s">
        <v>97</v>
      </c>
      <c r="E38" s="23" t="s">
        <v>98</v>
      </c>
      <c r="F38" s="23" t="s">
        <v>99</v>
      </c>
      <c r="G38" s="23" t="s">
        <v>100</v>
      </c>
    </row>
    <row r="39" ht="54" customHeight="1" spans="1:7">
      <c r="A39" s="22" t="s">
        <v>101</v>
      </c>
      <c r="B39" s="22" t="s">
        <v>102</v>
      </c>
      <c r="C39" s="22" t="s">
        <v>103</v>
      </c>
      <c r="D39" s="22" t="s">
        <v>104</v>
      </c>
      <c r="E39" s="22" t="s">
        <v>105</v>
      </c>
      <c r="F39" s="22" t="s">
        <v>106</v>
      </c>
      <c r="G39" s="22" t="s">
        <v>107</v>
      </c>
    </row>
    <row r="40" ht="54" customHeight="1" spans="1:7">
      <c r="A40" s="23" t="s">
        <v>108</v>
      </c>
      <c r="B40" s="23" t="s">
        <v>109</v>
      </c>
      <c r="C40" s="23" t="s">
        <v>110</v>
      </c>
      <c r="D40" s="23" t="s">
        <v>111</v>
      </c>
      <c r="E40" s="23" t="s">
        <v>112</v>
      </c>
      <c r="F40" s="23" t="s">
        <v>113</v>
      </c>
      <c r="G40" s="23" t="s">
        <v>114</v>
      </c>
    </row>
    <row r="41" ht="54" customHeight="1" spans="1:7">
      <c r="A41" s="22" t="s">
        <v>115</v>
      </c>
      <c r="B41" s="22" t="s">
        <v>116</v>
      </c>
      <c r="C41" s="22" t="s">
        <v>117</v>
      </c>
      <c r="D41" s="22" t="s">
        <v>118</v>
      </c>
      <c r="E41" s="22" t="s">
        <v>119</v>
      </c>
      <c r="F41" s="22" t="s">
        <v>120</v>
      </c>
      <c r="G41" s="22" t="s">
        <v>121</v>
      </c>
    </row>
    <row r="42" ht="54" customHeight="1" spans="1:7">
      <c r="A42" s="23" t="s">
        <v>122</v>
      </c>
      <c r="B42" s="23" t="s">
        <v>123</v>
      </c>
      <c r="C42" s="23" t="s">
        <v>124</v>
      </c>
      <c r="D42" s="23" t="s">
        <v>125</v>
      </c>
      <c r="E42" s="23" t="s">
        <v>126</v>
      </c>
      <c r="F42" s="23" t="s">
        <v>127</v>
      </c>
      <c r="G42" s="23" t="s">
        <v>128</v>
      </c>
    </row>
    <row r="43" ht="54" customHeight="1" spans="1:7">
      <c r="A43" s="22" t="s">
        <v>129</v>
      </c>
      <c r="B43" s="22" t="s">
        <v>130</v>
      </c>
      <c r="C43" s="22" t="s">
        <v>131</v>
      </c>
      <c r="D43" s="22" t="s">
        <v>132</v>
      </c>
      <c r="E43" s="22" t="s">
        <v>133</v>
      </c>
      <c r="F43" s="22" t="s">
        <v>134</v>
      </c>
      <c r="G43" s="22" t="s">
        <v>135</v>
      </c>
    </row>
    <row r="44" ht="54" customHeight="1" spans="1:7">
      <c r="A44" s="23" t="s">
        <v>136</v>
      </c>
      <c r="B44" s="23" t="s">
        <v>137</v>
      </c>
      <c r="C44" s="23" t="s">
        <v>138</v>
      </c>
      <c r="D44" s="23" t="s">
        <v>139</v>
      </c>
      <c r="E44" s="23" t="s">
        <v>140</v>
      </c>
      <c r="F44" s="23" t="s">
        <v>141</v>
      </c>
      <c r="G44" s="23" t="s">
        <v>142</v>
      </c>
    </row>
    <row r="45" ht="54" customHeight="1" spans="1:7">
      <c r="A45" s="22" t="s">
        <v>143</v>
      </c>
      <c r="B45" s="22" t="s">
        <v>144</v>
      </c>
      <c r="C45" s="22" t="s">
        <v>145</v>
      </c>
      <c r="D45" s="22" t="s">
        <v>146</v>
      </c>
      <c r="E45" s="22" t="s">
        <v>147</v>
      </c>
      <c r="F45" s="22" t="s">
        <v>148</v>
      </c>
      <c r="G45" s="22" t="s">
        <v>149</v>
      </c>
    </row>
    <row r="46" ht="54" customHeight="1" spans="1:7">
      <c r="A46" s="23" t="s">
        <v>150</v>
      </c>
      <c r="B46" s="23" t="s">
        <v>151</v>
      </c>
      <c r="C46" s="23" t="s">
        <v>152</v>
      </c>
      <c r="D46" s="23" t="s">
        <v>153</v>
      </c>
      <c r="E46" s="23" t="s">
        <v>154</v>
      </c>
      <c r="F46" s="23" t="s">
        <v>155</v>
      </c>
      <c r="G46" s="23" t="s">
        <v>156</v>
      </c>
    </row>
    <row r="47" spans="1:7">
      <c r="A47" s="19"/>
      <c r="B47" s="19"/>
      <c r="C47" s="19"/>
      <c r="D47" s="19"/>
      <c r="E47" s="19"/>
      <c r="F47" s="19"/>
      <c r="G47" s="19"/>
    </row>
    <row r="48" ht="22" customHeight="1" spans="1:7">
      <c r="A48" s="24" t="s">
        <v>157</v>
      </c>
      <c r="B48" s="19"/>
      <c r="C48" s="19"/>
      <c r="D48" s="19"/>
      <c r="E48" s="19"/>
      <c r="F48" s="19"/>
      <c r="G48" s="19"/>
    </row>
    <row r="49" ht="34" customHeight="1" spans="1:7">
      <c r="A49" s="25" t="s">
        <v>5</v>
      </c>
      <c r="B49" s="26" t="s">
        <v>158</v>
      </c>
      <c r="C49" s="27" t="s">
        <v>159</v>
      </c>
      <c r="D49" s="27" t="s">
        <v>160</v>
      </c>
      <c r="E49" s="27"/>
      <c r="F49" s="27"/>
      <c r="G49" s="27"/>
    </row>
    <row r="50" ht="34" customHeight="1" spans="1:7">
      <c r="A50" s="25" t="s">
        <v>11</v>
      </c>
      <c r="B50" s="26" t="s">
        <v>20</v>
      </c>
      <c r="C50" s="27" t="s">
        <v>161</v>
      </c>
      <c r="D50" s="27" t="s">
        <v>162</v>
      </c>
      <c r="E50" s="27"/>
      <c r="F50" s="27"/>
      <c r="G50" s="27"/>
    </row>
    <row r="51" ht="34" customHeight="1" spans="1:7">
      <c r="A51" s="25" t="s">
        <v>17</v>
      </c>
      <c r="B51" s="26" t="s">
        <v>26</v>
      </c>
      <c r="C51" s="27" t="s">
        <v>163</v>
      </c>
      <c r="D51" s="27" t="s">
        <v>164</v>
      </c>
      <c r="E51" s="27"/>
      <c r="F51" s="27"/>
      <c r="G51" s="27"/>
    </row>
    <row r="52" ht="54" customHeight="1" spans="1:7">
      <c r="A52" s="25" t="s">
        <v>165</v>
      </c>
      <c r="B52" s="26"/>
      <c r="C52" s="27"/>
      <c r="D52" s="27"/>
      <c r="E52" s="27"/>
      <c r="F52" s="27"/>
      <c r="G52" s="27"/>
    </row>
    <row r="53" spans="1:7">
      <c r="A53" s="19"/>
      <c r="B53" s="19"/>
      <c r="C53" s="19"/>
      <c r="D53" s="19"/>
      <c r="E53" s="19"/>
      <c r="F53" s="19"/>
      <c r="G53" s="19"/>
    </row>
    <row r="54" ht="42" customHeight="1" spans="1:7">
      <c r="A54" s="28" t="s">
        <v>166</v>
      </c>
      <c r="B54" s="28"/>
      <c r="C54" s="28"/>
      <c r="D54" s="28"/>
      <c r="E54" s="28"/>
      <c r="F54" s="28"/>
      <c r="G54" s="28"/>
    </row>
    <row r="55" ht="32" customHeight="1" spans="1:7">
      <c r="A55" s="29" t="s">
        <v>167</v>
      </c>
      <c r="B55" s="29"/>
      <c r="C55" s="29"/>
      <c r="D55" s="29"/>
      <c r="E55" s="29"/>
      <c r="F55" s="29"/>
      <c r="G55" s="29"/>
    </row>
    <row r="56" ht="54" customHeight="1" spans="1:7">
      <c r="A56" s="19" t="s">
        <v>168</v>
      </c>
      <c r="B56" s="19"/>
      <c r="C56" s="19"/>
      <c r="D56" s="19"/>
      <c r="E56" s="19"/>
      <c r="F56" s="19"/>
      <c r="G56" s="19"/>
    </row>
    <row r="57" ht="24" customHeight="1" spans="1:7">
      <c r="A57" s="5"/>
      <c r="B57" s="5"/>
      <c r="C57" s="5"/>
      <c r="D57" s="5"/>
      <c r="E57" s="5"/>
      <c r="F57" s="5"/>
      <c r="G57" s="5"/>
    </row>
    <row r="58" ht="24" customHeight="1" spans="1:7">
      <c r="A58" s="30" t="s">
        <v>169</v>
      </c>
      <c r="B58" s="30" t="s">
        <v>170</v>
      </c>
      <c r="C58" s="30" t="s">
        <v>171</v>
      </c>
      <c r="D58" s="30" t="s">
        <v>172</v>
      </c>
      <c r="E58" s="30" t="s">
        <v>83</v>
      </c>
      <c r="F58" s="30" t="s">
        <v>85</v>
      </c>
      <c r="G58" s="30" t="s">
        <v>86</v>
      </c>
    </row>
    <row r="59" ht="54" customHeight="1" spans="1:7">
      <c r="A59" s="19" t="s">
        <v>173</v>
      </c>
      <c r="B59" s="19" t="s">
        <v>174</v>
      </c>
      <c r="C59" s="19" t="s">
        <v>175</v>
      </c>
      <c r="D59" s="19" t="s">
        <v>176</v>
      </c>
      <c r="E59" s="19" t="s">
        <v>177</v>
      </c>
      <c r="F59" s="19" t="s">
        <v>178</v>
      </c>
      <c r="G59" s="19" t="s">
        <v>179</v>
      </c>
    </row>
    <row r="60" ht="54" customHeight="1" spans="1:7">
      <c r="A60" s="19" t="s">
        <v>112</v>
      </c>
      <c r="B60" s="19" t="s">
        <v>180</v>
      </c>
      <c r="C60" s="19" t="s">
        <v>181</v>
      </c>
      <c r="D60" s="19" t="s">
        <v>182</v>
      </c>
      <c r="E60" s="19" t="s">
        <v>111</v>
      </c>
      <c r="F60" s="19" t="s">
        <v>183</v>
      </c>
      <c r="G60" s="19" t="s">
        <v>184</v>
      </c>
    </row>
    <row r="61" ht="54" customHeight="1" spans="1:7">
      <c r="A61" s="19" t="s">
        <v>185</v>
      </c>
      <c r="B61" s="19" t="s">
        <v>186</v>
      </c>
      <c r="C61" s="19" t="s">
        <v>187</v>
      </c>
      <c r="D61" s="19" t="s">
        <v>188</v>
      </c>
      <c r="E61" s="19" t="s">
        <v>189</v>
      </c>
      <c r="F61" s="19" t="s">
        <v>190</v>
      </c>
      <c r="G61" s="19" t="s">
        <v>191</v>
      </c>
    </row>
    <row r="62" ht="54" customHeight="1" spans="1:7">
      <c r="A62" s="19" t="s">
        <v>192</v>
      </c>
      <c r="B62" s="19" t="s">
        <v>193</v>
      </c>
      <c r="C62" s="19" t="s">
        <v>194</v>
      </c>
      <c r="D62" s="19" t="s">
        <v>195</v>
      </c>
      <c r="E62" s="19" t="s">
        <v>196</v>
      </c>
      <c r="F62" s="19" t="s">
        <v>197</v>
      </c>
      <c r="G62" s="19" t="s">
        <v>156</v>
      </c>
    </row>
    <row r="63" ht="54" customHeight="1" spans="1:7">
      <c r="A63" s="19" t="s">
        <v>198</v>
      </c>
      <c r="B63" s="19" t="s">
        <v>199</v>
      </c>
      <c r="C63" s="19" t="s">
        <v>200</v>
      </c>
      <c r="D63" s="19" t="s">
        <v>201</v>
      </c>
      <c r="E63" s="19" t="s">
        <v>139</v>
      </c>
      <c r="F63" s="19" t="s">
        <v>202</v>
      </c>
      <c r="G63" s="19" t="s">
        <v>203</v>
      </c>
    </row>
    <row r="64" ht="54" customHeight="1" spans="1:7">
      <c r="A64" s="19" t="s">
        <v>204</v>
      </c>
      <c r="B64" s="19" t="s">
        <v>205</v>
      </c>
      <c r="C64" s="19" t="s">
        <v>206</v>
      </c>
      <c r="D64" s="19" t="s">
        <v>207</v>
      </c>
      <c r="E64" s="19" t="s">
        <v>204</v>
      </c>
      <c r="F64" s="19" t="s">
        <v>208</v>
      </c>
      <c r="G64" s="19" t="s">
        <v>209</v>
      </c>
    </row>
    <row r="65" ht="24" customHeight="1" spans="1:7">
      <c r="A65" s="5"/>
      <c r="B65" s="5"/>
      <c r="C65" s="5"/>
      <c r="D65" s="5"/>
      <c r="E65" s="5"/>
      <c r="F65" s="5"/>
      <c r="G65" s="5"/>
    </row>
    <row r="66" ht="42" customHeight="1" spans="1:7">
      <c r="A66" s="19" t="s">
        <v>210</v>
      </c>
      <c r="B66" s="19"/>
      <c r="C66" s="19"/>
      <c r="D66" s="19"/>
      <c r="E66" s="19"/>
      <c r="F66" s="19"/>
      <c r="G66" s="19"/>
    </row>
    <row r="67" ht="24" customHeight="1" spans="1:7">
      <c r="A67" s="19"/>
      <c r="B67" s="19"/>
      <c r="C67" s="19"/>
      <c r="D67" s="19"/>
      <c r="E67" s="19"/>
      <c r="F67" s="19"/>
      <c r="G67" s="19"/>
    </row>
    <row r="68" ht="42" customHeight="1" spans="1:7">
      <c r="A68" s="19" t="s">
        <v>211</v>
      </c>
      <c r="B68" s="19"/>
      <c r="C68" s="19"/>
      <c r="D68" s="19"/>
      <c r="E68" s="19"/>
      <c r="F68" s="19"/>
      <c r="G68" s="19"/>
    </row>
  </sheetData>
  <mergeCells count="15">
    <mergeCell ref="A1:H1"/>
    <mergeCell ref="A5:D5"/>
    <mergeCell ref="E5:H5"/>
    <mergeCell ref="A13:H13"/>
    <mergeCell ref="A21:H21"/>
    <mergeCell ref="A28:G28"/>
    <mergeCell ref="A32:G32"/>
    <mergeCell ref="A48:G48"/>
    <mergeCell ref="A52:G52"/>
    <mergeCell ref="A55:G55"/>
    <mergeCell ref="A56:G56"/>
    <mergeCell ref="A66:G66"/>
    <mergeCell ref="A68:G68"/>
    <mergeCell ref="A2:H3"/>
    <mergeCell ref="A33:G34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06"/>
  <sheetViews>
    <sheetView workbookViewId="0">
      <selection activeCell="A1" sqref="A1:T1"/>
    </sheetView>
  </sheetViews>
  <sheetFormatPr defaultColWidth="9" defaultRowHeight="13.8"/>
  <cols>
    <col min="1" max="2" width="12" customWidth="1"/>
    <col min="3" max="4" width="14" customWidth="1"/>
    <col min="5" max="5" width="12" customWidth="1"/>
    <col min="6" max="7" width="14" customWidth="1"/>
    <col min="8" max="8" width="15" customWidth="1"/>
    <col min="9" max="9" width="16" customWidth="1"/>
    <col min="10" max="10" width="14" customWidth="1"/>
    <col min="11" max="11" width="34" customWidth="1"/>
    <col min="12" max="13" width="14" customWidth="1"/>
    <col min="14" max="15" width="16" customWidth="1"/>
    <col min="16" max="16" width="26" customWidth="1"/>
    <col min="17" max="17" width="38" customWidth="1"/>
    <col min="18" max="18" width="12" customWidth="1"/>
    <col min="19" max="19" width="14" customWidth="1"/>
    <col min="20" max="20" width="28" customWidth="1"/>
    <col min="21" max="21" width="18" customWidth="1"/>
    <col min="22" max="22" width="16" customWidth="1"/>
  </cols>
  <sheetData>
    <row r="1" ht="32" customHeight="1" spans="1:22">
      <c r="A1" s="1" t="s">
        <v>212</v>
      </c>
    </row>
    <row r="2" ht="36" customHeight="1" spans="1:22">
      <c r="A2" s="2" t="s">
        <v>213</v>
      </c>
    </row>
    <row r="4" spans="1:22">
      <c r="A4" s="10" t="s">
        <v>214</v>
      </c>
      <c r="B4" s="10" t="s">
        <v>3</v>
      </c>
      <c r="C4" s="10" t="s">
        <v>215</v>
      </c>
      <c r="D4" s="10" t="s">
        <v>3</v>
      </c>
      <c r="E4" s="10" t="s">
        <v>216</v>
      </c>
      <c r="F4" s="10" t="s">
        <v>3</v>
      </c>
      <c r="G4" s="10" t="s">
        <v>217</v>
      </c>
      <c r="H4" s="10" t="s">
        <v>3</v>
      </c>
      <c r="I4" s="10" t="s">
        <v>218</v>
      </c>
      <c r="J4" s="10" t="s">
        <v>3</v>
      </c>
      <c r="K4" s="10" t="s">
        <v>3</v>
      </c>
      <c r="L4" s="10" t="s">
        <v>3</v>
      </c>
      <c r="M4" s="10" t="s">
        <v>3</v>
      </c>
      <c r="N4" s="10" t="s">
        <v>3</v>
      </c>
      <c r="O4" s="10" t="s">
        <v>3</v>
      </c>
      <c r="P4" s="10" t="s">
        <v>3</v>
      </c>
      <c r="Q4" s="10" t="s">
        <v>3</v>
      </c>
      <c r="R4" s="10" t="s">
        <v>3</v>
      </c>
      <c r="S4" s="10" t="s">
        <v>3</v>
      </c>
      <c r="T4" s="10" t="s">
        <v>3</v>
      </c>
    </row>
    <row r="5" spans="1:22">
      <c r="A5" s="2">
        <f>COUNTA(B7:B206)</f>
        <v>0</v>
      </c>
      <c r="B5" s="2" t="s">
        <v>3</v>
      </c>
      <c r="C5" s="2">
        <f>COUNTIF(R7:R206,"需清洗")</f>
        <v>0</v>
      </c>
      <c r="D5" s="2" t="s">
        <v>3</v>
      </c>
      <c r="E5" s="2">
        <f>COUNTIF(S7:S206,"A核心画像")</f>
        <v>0</v>
      </c>
      <c r="F5" s="2" t="s">
        <v>3</v>
      </c>
      <c r="G5" s="2">
        <f>COUNTIF(R7:R206,"禁止入库")</f>
        <v>0</v>
      </c>
      <c r="H5" s="2" t="s">
        <v>3</v>
      </c>
      <c r="I5" s="2" t="s">
        <v>219</v>
      </c>
      <c r="J5" s="2" t="s">
        <v>3</v>
      </c>
      <c r="K5" s="2" t="s">
        <v>3</v>
      </c>
      <c r="L5" s="2" t="s">
        <v>3</v>
      </c>
      <c r="M5" s="2" t="s">
        <v>3</v>
      </c>
      <c r="N5" s="2" t="s">
        <v>3</v>
      </c>
      <c r="O5" s="2" t="s">
        <v>3</v>
      </c>
      <c r="P5" s="2" t="s">
        <v>3</v>
      </c>
      <c r="Q5" s="2" t="s">
        <v>3</v>
      </c>
      <c r="R5" s="2" t="s">
        <v>3</v>
      </c>
      <c r="S5" s="2" t="s">
        <v>3</v>
      </c>
      <c r="T5" s="2" t="s">
        <v>3</v>
      </c>
    </row>
    <row r="6" ht="32" customHeight="1" spans="1:22">
      <c r="A6" s="11" t="s">
        <v>220</v>
      </c>
      <c r="B6" s="11" t="s">
        <v>221</v>
      </c>
      <c r="C6" s="11" t="s">
        <v>222</v>
      </c>
      <c r="D6" s="11" t="s">
        <v>223</v>
      </c>
      <c r="E6" s="11" t="s">
        <v>224</v>
      </c>
      <c r="F6" s="11" t="s">
        <v>225</v>
      </c>
      <c r="G6" s="11" t="s">
        <v>226</v>
      </c>
      <c r="H6" s="11" t="s">
        <v>227</v>
      </c>
      <c r="I6" s="11" t="s">
        <v>228</v>
      </c>
      <c r="J6" s="11" t="s">
        <v>229</v>
      </c>
      <c r="K6" s="11" t="s">
        <v>230</v>
      </c>
      <c r="L6" s="11" t="s">
        <v>231</v>
      </c>
      <c r="M6" s="11" t="s">
        <v>232</v>
      </c>
      <c r="N6" s="11" t="s">
        <v>233</v>
      </c>
      <c r="O6" s="11" t="s">
        <v>234</v>
      </c>
      <c r="P6" s="11" t="s">
        <v>235</v>
      </c>
      <c r="Q6" s="11" t="s">
        <v>236</v>
      </c>
      <c r="R6" s="11" t="s">
        <v>237</v>
      </c>
      <c r="S6" s="11" t="s">
        <v>238</v>
      </c>
      <c r="T6" s="11" t="s">
        <v>239</v>
      </c>
      <c r="U6" s="5" t="s">
        <v>80</v>
      </c>
      <c r="V6" t="s">
        <v>169</v>
      </c>
    </row>
    <row r="7" spans="1:22">
      <c r="A7" s="12" t="str">
        <f t="shared" ref="A7:A70" si="0">IF(B7="","","LPI-"&amp;TEXT(ROW()-6,"0000"))</f>
        <v/>
      </c>
      <c r="B7" s="13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5" t="s">
        <v>3</v>
      </c>
    </row>
    <row r="8" spans="1:22">
      <c r="A8" s="12" t="str">
        <f t="shared" si="0"/>
        <v/>
      </c>
      <c r="B8" s="13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5" t="s">
        <v>3</v>
      </c>
    </row>
    <row r="9" spans="1:22">
      <c r="A9" s="12" t="str">
        <f t="shared" si="0"/>
        <v/>
      </c>
      <c r="B9" s="13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5" t="s">
        <v>3</v>
      </c>
    </row>
    <row r="10" spans="1:22">
      <c r="A10" s="12" t="str">
        <f t="shared" si="0"/>
        <v/>
      </c>
      <c r="B10" s="1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5" t="s">
        <v>3</v>
      </c>
    </row>
    <row r="11" spans="1:22">
      <c r="A11" s="12" t="str">
        <f t="shared" si="0"/>
        <v/>
      </c>
      <c r="B11" s="1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5" t="s">
        <v>3</v>
      </c>
    </row>
    <row r="12" spans="1:22">
      <c r="A12" s="12" t="str">
        <f t="shared" si="0"/>
        <v/>
      </c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5" t="s">
        <v>3</v>
      </c>
    </row>
    <row r="13" spans="1:22">
      <c r="A13" s="12" t="str">
        <f t="shared" si="0"/>
        <v/>
      </c>
      <c r="B13" s="13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5" t="s">
        <v>3</v>
      </c>
    </row>
    <row r="14" spans="1:22">
      <c r="A14" s="12" t="str">
        <f t="shared" si="0"/>
        <v/>
      </c>
      <c r="B14" s="13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5" t="s">
        <v>3</v>
      </c>
    </row>
    <row r="15" spans="1:22">
      <c r="A15" s="12" t="str">
        <f t="shared" si="0"/>
        <v/>
      </c>
      <c r="B15" s="13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5" t="s">
        <v>3</v>
      </c>
    </row>
    <row r="16" spans="1:22">
      <c r="A16" s="12" t="str">
        <f t="shared" si="0"/>
        <v/>
      </c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5" t="s">
        <v>3</v>
      </c>
    </row>
    <row r="17" spans="1:21">
      <c r="A17" s="12" t="str">
        <f t="shared" si="0"/>
        <v/>
      </c>
      <c r="B17" s="13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5" t="s">
        <v>3</v>
      </c>
    </row>
    <row r="18" spans="1:21">
      <c r="A18" s="12" t="str">
        <f t="shared" si="0"/>
        <v/>
      </c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5" t="s">
        <v>3</v>
      </c>
    </row>
    <row r="19" spans="1:21">
      <c r="A19" s="12" t="str">
        <f t="shared" si="0"/>
        <v/>
      </c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5" t="s">
        <v>3</v>
      </c>
    </row>
    <row r="20" spans="1:21">
      <c r="A20" s="12" t="str">
        <f t="shared" si="0"/>
        <v/>
      </c>
      <c r="B20" s="13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5" t="s">
        <v>3</v>
      </c>
    </row>
    <row r="21" spans="1:21">
      <c r="A21" s="12" t="str">
        <f t="shared" si="0"/>
        <v/>
      </c>
      <c r="B21" s="13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5" t="s">
        <v>3</v>
      </c>
    </row>
    <row r="22" spans="1:21">
      <c r="A22" s="12" t="str">
        <f t="shared" si="0"/>
        <v/>
      </c>
      <c r="B22" s="13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5" t="s">
        <v>3</v>
      </c>
    </row>
    <row r="23" spans="1:21">
      <c r="A23" s="12" t="str">
        <f t="shared" si="0"/>
        <v/>
      </c>
      <c r="B23" s="13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5" t="s">
        <v>3</v>
      </c>
    </row>
    <row r="24" spans="1:21">
      <c r="A24" s="12" t="str">
        <f t="shared" si="0"/>
        <v/>
      </c>
      <c r="B24" s="13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5" t="s">
        <v>3</v>
      </c>
    </row>
    <row r="25" spans="1:21">
      <c r="A25" s="12" t="str">
        <f t="shared" si="0"/>
        <v/>
      </c>
      <c r="B25" s="13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5" t="s">
        <v>3</v>
      </c>
    </row>
    <row r="26" spans="1:21">
      <c r="A26" s="12" t="str">
        <f t="shared" si="0"/>
        <v/>
      </c>
      <c r="B26" s="13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5" t="s">
        <v>3</v>
      </c>
    </row>
    <row r="27" spans="1:21">
      <c r="A27" s="12" t="str">
        <f t="shared" si="0"/>
        <v/>
      </c>
      <c r="B27" s="13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5" t="s">
        <v>3</v>
      </c>
    </row>
    <row r="28" spans="1:21">
      <c r="A28" s="12" t="str">
        <f t="shared" si="0"/>
        <v/>
      </c>
      <c r="B28" s="13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5" t="s">
        <v>3</v>
      </c>
    </row>
    <row r="29" spans="1:21">
      <c r="A29" s="12" t="str">
        <f t="shared" si="0"/>
        <v/>
      </c>
      <c r="B29" s="13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5" t="s">
        <v>3</v>
      </c>
    </row>
    <row r="30" spans="1:21">
      <c r="A30" s="12" t="str">
        <f t="shared" si="0"/>
        <v/>
      </c>
      <c r="B30" s="13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5" t="s">
        <v>3</v>
      </c>
    </row>
    <row r="31" spans="1:21">
      <c r="A31" s="12" t="str">
        <f t="shared" si="0"/>
        <v/>
      </c>
      <c r="B31" s="13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5" t="s">
        <v>3</v>
      </c>
    </row>
    <row r="32" spans="1:21">
      <c r="A32" s="12" t="str">
        <f t="shared" si="0"/>
        <v/>
      </c>
      <c r="B32" s="13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5" t="s">
        <v>3</v>
      </c>
    </row>
    <row r="33" spans="1:21">
      <c r="A33" s="12" t="str">
        <f t="shared" si="0"/>
        <v/>
      </c>
      <c r="B33" s="13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5" t="s">
        <v>3</v>
      </c>
    </row>
    <row r="34" spans="1:21">
      <c r="A34" s="12" t="str">
        <f t="shared" si="0"/>
        <v/>
      </c>
      <c r="B34" s="13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5" t="s">
        <v>3</v>
      </c>
    </row>
    <row r="35" spans="1:21">
      <c r="A35" s="12" t="str">
        <f t="shared" si="0"/>
        <v/>
      </c>
      <c r="B35" s="13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5" t="s">
        <v>3</v>
      </c>
    </row>
    <row r="36" spans="1:21">
      <c r="A36" s="12" t="str">
        <f t="shared" si="0"/>
        <v/>
      </c>
      <c r="B36" s="13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5" t="s">
        <v>3</v>
      </c>
    </row>
    <row r="37" spans="1:21">
      <c r="A37" s="12" t="str">
        <f t="shared" si="0"/>
        <v/>
      </c>
      <c r="B37" s="13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5" t="s">
        <v>3</v>
      </c>
    </row>
    <row r="38" spans="1:21">
      <c r="A38" s="12" t="str">
        <f t="shared" si="0"/>
        <v/>
      </c>
      <c r="B38" s="13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5" t="s">
        <v>3</v>
      </c>
    </row>
    <row r="39" spans="1:21">
      <c r="A39" s="12" t="str">
        <f t="shared" si="0"/>
        <v/>
      </c>
      <c r="B39" s="13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5" t="s">
        <v>3</v>
      </c>
    </row>
    <row r="40" spans="1:21">
      <c r="A40" s="12" t="str">
        <f t="shared" si="0"/>
        <v/>
      </c>
      <c r="B40" s="13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5" t="s">
        <v>3</v>
      </c>
    </row>
    <row r="41" spans="1:21">
      <c r="A41" s="12" t="str">
        <f t="shared" si="0"/>
        <v/>
      </c>
      <c r="B41" s="13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5" t="s">
        <v>3</v>
      </c>
    </row>
    <row r="42" spans="1:21">
      <c r="A42" s="12" t="str">
        <f t="shared" si="0"/>
        <v/>
      </c>
      <c r="B42" s="13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5" t="s">
        <v>3</v>
      </c>
    </row>
    <row r="43" spans="1:21">
      <c r="A43" s="12" t="str">
        <f t="shared" si="0"/>
        <v/>
      </c>
      <c r="B43" s="13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5" t="s">
        <v>3</v>
      </c>
    </row>
    <row r="44" spans="1:21">
      <c r="A44" s="12" t="str">
        <f t="shared" si="0"/>
        <v/>
      </c>
      <c r="B44" s="13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5" t="s">
        <v>3</v>
      </c>
    </row>
    <row r="45" spans="1:21">
      <c r="A45" s="12" t="str">
        <f t="shared" si="0"/>
        <v/>
      </c>
      <c r="B45" s="13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5" t="s">
        <v>3</v>
      </c>
    </row>
    <row r="46" spans="1:21">
      <c r="A46" s="12" t="str">
        <f t="shared" si="0"/>
        <v/>
      </c>
      <c r="B46" s="13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5" t="s">
        <v>3</v>
      </c>
    </row>
    <row r="47" spans="1:21">
      <c r="A47" s="12" t="str">
        <f t="shared" si="0"/>
        <v/>
      </c>
      <c r="B47" s="13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5" t="s">
        <v>3</v>
      </c>
    </row>
    <row r="48" spans="1:21">
      <c r="A48" s="12" t="str">
        <f t="shared" si="0"/>
        <v/>
      </c>
      <c r="B48" s="13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5" t="s">
        <v>3</v>
      </c>
    </row>
    <row r="49" spans="1:21">
      <c r="A49" s="12" t="str">
        <f t="shared" si="0"/>
        <v/>
      </c>
      <c r="B49" s="13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5" t="s">
        <v>3</v>
      </c>
    </row>
    <row r="50" spans="1:21">
      <c r="A50" s="12" t="str">
        <f t="shared" si="0"/>
        <v/>
      </c>
      <c r="B50" s="13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5" t="s">
        <v>3</v>
      </c>
    </row>
    <row r="51" spans="1:21">
      <c r="A51" s="12" t="str">
        <f t="shared" si="0"/>
        <v/>
      </c>
      <c r="B51" s="13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5" t="s">
        <v>3</v>
      </c>
    </row>
    <row r="52" spans="1:21">
      <c r="A52" s="12" t="str">
        <f t="shared" si="0"/>
        <v/>
      </c>
      <c r="B52" s="13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5" t="s">
        <v>3</v>
      </c>
    </row>
    <row r="53" spans="1:21">
      <c r="A53" s="12" t="str">
        <f t="shared" si="0"/>
        <v/>
      </c>
      <c r="B53" s="13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5" t="s">
        <v>3</v>
      </c>
    </row>
    <row r="54" spans="1:21">
      <c r="A54" s="12" t="str">
        <f t="shared" si="0"/>
        <v/>
      </c>
      <c r="B54" s="13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5" t="s">
        <v>3</v>
      </c>
    </row>
    <row r="55" spans="1:21">
      <c r="A55" s="12" t="str">
        <f t="shared" si="0"/>
        <v/>
      </c>
      <c r="B55" s="13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5" t="s">
        <v>3</v>
      </c>
    </row>
    <row r="56" spans="1:21">
      <c r="A56" s="12" t="str">
        <f t="shared" si="0"/>
        <v/>
      </c>
      <c r="B56" s="13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5" t="s">
        <v>3</v>
      </c>
    </row>
    <row r="57" spans="1:21">
      <c r="A57" s="12" t="str">
        <f t="shared" si="0"/>
        <v/>
      </c>
      <c r="B57" s="13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5" t="s">
        <v>3</v>
      </c>
    </row>
    <row r="58" spans="1:21">
      <c r="A58" s="12" t="str">
        <f t="shared" si="0"/>
        <v/>
      </c>
      <c r="B58" s="13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5" t="s">
        <v>3</v>
      </c>
    </row>
    <row r="59" spans="1:21">
      <c r="A59" s="12" t="str">
        <f t="shared" si="0"/>
        <v/>
      </c>
      <c r="B59" s="13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5" t="s">
        <v>3</v>
      </c>
    </row>
    <row r="60" spans="1:21">
      <c r="A60" s="12" t="str">
        <f t="shared" si="0"/>
        <v/>
      </c>
      <c r="B60" s="13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5" t="s">
        <v>3</v>
      </c>
    </row>
    <row r="61" spans="1:21">
      <c r="A61" s="12" t="str">
        <f t="shared" si="0"/>
        <v/>
      </c>
      <c r="B61" s="13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5" t="s">
        <v>3</v>
      </c>
    </row>
    <row r="62" spans="1:21">
      <c r="A62" s="12" t="str">
        <f t="shared" si="0"/>
        <v/>
      </c>
      <c r="B62" s="13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5" t="s">
        <v>3</v>
      </c>
    </row>
    <row r="63" spans="1:21">
      <c r="A63" s="12" t="str">
        <f t="shared" si="0"/>
        <v/>
      </c>
      <c r="B63" s="13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5" t="s">
        <v>3</v>
      </c>
    </row>
    <row r="64" spans="1:21">
      <c r="A64" s="12" t="str">
        <f t="shared" si="0"/>
        <v/>
      </c>
      <c r="B64" s="13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5" t="s">
        <v>3</v>
      </c>
    </row>
    <row r="65" spans="1:21">
      <c r="A65" s="12" t="str">
        <f t="shared" si="0"/>
        <v/>
      </c>
      <c r="B65" s="13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5" t="s">
        <v>3</v>
      </c>
    </row>
    <row r="66" spans="1:21">
      <c r="A66" s="12" t="str">
        <f t="shared" si="0"/>
        <v/>
      </c>
      <c r="B66" s="13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5" t="s">
        <v>3</v>
      </c>
    </row>
    <row r="67" spans="1:21">
      <c r="A67" s="12" t="str">
        <f t="shared" si="0"/>
        <v/>
      </c>
      <c r="B67" s="13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5" t="s">
        <v>3</v>
      </c>
    </row>
    <row r="68" spans="1:21">
      <c r="A68" s="12" t="str">
        <f t="shared" si="0"/>
        <v/>
      </c>
      <c r="B68" s="13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5" t="s">
        <v>3</v>
      </c>
    </row>
    <row r="69" spans="1:21">
      <c r="A69" s="12" t="str">
        <f t="shared" si="0"/>
        <v/>
      </c>
      <c r="B69" s="13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5" t="s">
        <v>3</v>
      </c>
    </row>
    <row r="70" spans="1:21">
      <c r="A70" s="12" t="str">
        <f t="shared" si="0"/>
        <v/>
      </c>
      <c r="B70" s="13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5" t="s">
        <v>3</v>
      </c>
    </row>
    <row r="71" spans="1:21">
      <c r="A71" s="12" t="str">
        <f t="shared" ref="A71:A134" si="1">IF(B71="","","LPI-"&amp;TEXT(ROW()-6,"0000"))</f>
        <v/>
      </c>
      <c r="B71" s="13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5" t="s">
        <v>3</v>
      </c>
    </row>
    <row r="72" spans="1:21">
      <c r="A72" s="12" t="str">
        <f t="shared" si="1"/>
        <v/>
      </c>
      <c r="B72" s="13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5" t="s">
        <v>3</v>
      </c>
    </row>
    <row r="73" spans="1:21">
      <c r="A73" s="12" t="str">
        <f t="shared" si="1"/>
        <v/>
      </c>
      <c r="B73" s="13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5" t="s">
        <v>3</v>
      </c>
    </row>
    <row r="74" spans="1:21">
      <c r="A74" s="12" t="str">
        <f t="shared" si="1"/>
        <v/>
      </c>
      <c r="B74" s="13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5" t="s">
        <v>3</v>
      </c>
    </row>
    <row r="75" spans="1:21">
      <c r="A75" s="12" t="str">
        <f t="shared" si="1"/>
        <v/>
      </c>
      <c r="B75" s="13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5" t="s">
        <v>3</v>
      </c>
    </row>
    <row r="76" spans="1:21">
      <c r="A76" s="12" t="str">
        <f t="shared" si="1"/>
        <v/>
      </c>
      <c r="B76" s="13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5" t="s">
        <v>3</v>
      </c>
    </row>
    <row r="77" spans="1:21">
      <c r="A77" s="12" t="str">
        <f t="shared" si="1"/>
        <v/>
      </c>
      <c r="B77" s="13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5" t="s">
        <v>3</v>
      </c>
    </row>
    <row r="78" spans="1:21">
      <c r="A78" s="12" t="str">
        <f t="shared" si="1"/>
        <v/>
      </c>
      <c r="B78" s="13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5" t="s">
        <v>3</v>
      </c>
    </row>
    <row r="79" spans="1:21">
      <c r="A79" s="12" t="str">
        <f t="shared" si="1"/>
        <v/>
      </c>
      <c r="B79" s="13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5" t="s">
        <v>3</v>
      </c>
    </row>
    <row r="80" spans="1:21">
      <c r="A80" s="12" t="str">
        <f t="shared" si="1"/>
        <v/>
      </c>
      <c r="B80" s="13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5" t="s">
        <v>3</v>
      </c>
    </row>
    <row r="81" spans="1:21">
      <c r="A81" s="12" t="str">
        <f t="shared" si="1"/>
        <v/>
      </c>
      <c r="B81" s="13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5" t="s">
        <v>3</v>
      </c>
    </row>
    <row r="82" spans="1:21">
      <c r="A82" s="12" t="str">
        <f t="shared" si="1"/>
        <v/>
      </c>
      <c r="B82" s="13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5" t="s">
        <v>3</v>
      </c>
    </row>
    <row r="83" spans="1:21">
      <c r="A83" s="12" t="str">
        <f t="shared" si="1"/>
        <v/>
      </c>
      <c r="B83" s="13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5" t="s">
        <v>3</v>
      </c>
    </row>
    <row r="84" spans="1:21">
      <c r="A84" s="12" t="str">
        <f t="shared" si="1"/>
        <v/>
      </c>
      <c r="B84" s="13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5" t="s">
        <v>3</v>
      </c>
    </row>
    <row r="85" spans="1:21">
      <c r="A85" s="12" t="str">
        <f t="shared" si="1"/>
        <v/>
      </c>
      <c r="B85" s="13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5" t="s">
        <v>3</v>
      </c>
    </row>
    <row r="86" spans="1:21">
      <c r="A86" s="12" t="str">
        <f t="shared" si="1"/>
        <v/>
      </c>
      <c r="B86" s="13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5" t="s">
        <v>3</v>
      </c>
    </row>
    <row r="87" spans="1:21">
      <c r="A87" s="12" t="str">
        <f t="shared" si="1"/>
        <v/>
      </c>
      <c r="B87" s="13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5" t="s">
        <v>3</v>
      </c>
    </row>
    <row r="88" spans="1:21">
      <c r="A88" s="12" t="str">
        <f t="shared" si="1"/>
        <v/>
      </c>
      <c r="B88" s="13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5" t="s">
        <v>3</v>
      </c>
    </row>
    <row r="89" spans="1:21">
      <c r="A89" s="12" t="str">
        <f t="shared" si="1"/>
        <v/>
      </c>
      <c r="B89" s="13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5" t="s">
        <v>3</v>
      </c>
    </row>
    <row r="90" spans="1:21">
      <c r="A90" s="12" t="str">
        <f t="shared" si="1"/>
        <v/>
      </c>
      <c r="B90" s="13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5" t="s">
        <v>3</v>
      </c>
    </row>
    <row r="91" spans="1:21">
      <c r="A91" s="12" t="str">
        <f t="shared" si="1"/>
        <v/>
      </c>
      <c r="B91" s="13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5" t="s">
        <v>3</v>
      </c>
    </row>
    <row r="92" spans="1:21">
      <c r="A92" s="12" t="str">
        <f t="shared" si="1"/>
        <v/>
      </c>
      <c r="B92" s="13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5" t="s">
        <v>3</v>
      </c>
    </row>
    <row r="93" spans="1:21">
      <c r="A93" s="12" t="str">
        <f t="shared" si="1"/>
        <v/>
      </c>
      <c r="B93" s="13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5" t="s">
        <v>3</v>
      </c>
    </row>
    <row r="94" spans="1:21">
      <c r="A94" s="12" t="str">
        <f t="shared" si="1"/>
        <v/>
      </c>
      <c r="B94" s="13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5" t="s">
        <v>3</v>
      </c>
    </row>
    <row r="95" spans="1:21">
      <c r="A95" s="12" t="str">
        <f t="shared" si="1"/>
        <v/>
      </c>
      <c r="B95" s="13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5" t="s">
        <v>3</v>
      </c>
    </row>
    <row r="96" spans="1:21">
      <c r="A96" s="12" t="str">
        <f t="shared" si="1"/>
        <v/>
      </c>
      <c r="B96" s="13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5" t="s">
        <v>3</v>
      </c>
    </row>
    <row r="97" spans="1:21">
      <c r="A97" s="12" t="str">
        <f t="shared" si="1"/>
        <v/>
      </c>
      <c r="B97" s="13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5" t="s">
        <v>3</v>
      </c>
    </row>
    <row r="98" spans="1:21">
      <c r="A98" s="12" t="str">
        <f t="shared" si="1"/>
        <v/>
      </c>
      <c r="B98" s="13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5" t="s">
        <v>3</v>
      </c>
    </row>
    <row r="99" spans="1:21">
      <c r="A99" s="12" t="str">
        <f t="shared" si="1"/>
        <v/>
      </c>
      <c r="B99" s="13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5" t="s">
        <v>3</v>
      </c>
    </row>
    <row r="100" spans="1:21">
      <c r="A100" s="12" t="str">
        <f t="shared" si="1"/>
        <v/>
      </c>
      <c r="B100" s="13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5" t="s">
        <v>3</v>
      </c>
    </row>
    <row r="101" spans="1:21">
      <c r="A101" s="12" t="str">
        <f t="shared" si="1"/>
        <v/>
      </c>
      <c r="B101" s="13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5" t="s">
        <v>3</v>
      </c>
    </row>
    <row r="102" spans="1:21">
      <c r="A102" s="12" t="str">
        <f t="shared" si="1"/>
        <v/>
      </c>
      <c r="B102" s="13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5" t="s">
        <v>3</v>
      </c>
    </row>
    <row r="103" spans="1:21">
      <c r="A103" s="12" t="str">
        <f t="shared" si="1"/>
        <v/>
      </c>
      <c r="B103" s="13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5" t="s">
        <v>3</v>
      </c>
    </row>
    <row r="104" spans="1:21">
      <c r="A104" s="12" t="str">
        <f t="shared" si="1"/>
        <v/>
      </c>
      <c r="B104" s="13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5" t="s">
        <v>3</v>
      </c>
    </row>
    <row r="105" spans="1:21">
      <c r="A105" s="12" t="str">
        <f t="shared" si="1"/>
        <v/>
      </c>
      <c r="B105" s="13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5" t="s">
        <v>3</v>
      </c>
    </row>
    <row r="106" spans="1:21">
      <c r="A106" s="12" t="str">
        <f t="shared" si="1"/>
        <v/>
      </c>
      <c r="B106" s="13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5" t="s">
        <v>3</v>
      </c>
    </row>
    <row r="107" spans="1:21">
      <c r="A107" s="12" t="str">
        <f t="shared" si="1"/>
        <v/>
      </c>
      <c r="B107" s="13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5" t="s">
        <v>3</v>
      </c>
    </row>
    <row r="108" spans="1:21">
      <c r="A108" s="12" t="str">
        <f t="shared" si="1"/>
        <v/>
      </c>
      <c r="B108" s="13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5" t="s">
        <v>3</v>
      </c>
    </row>
    <row r="109" spans="1:21">
      <c r="A109" s="12" t="str">
        <f t="shared" si="1"/>
        <v/>
      </c>
      <c r="B109" s="13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5" t="s">
        <v>3</v>
      </c>
    </row>
    <row r="110" spans="1:21">
      <c r="A110" s="12" t="str">
        <f t="shared" si="1"/>
        <v/>
      </c>
      <c r="B110" s="13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5" t="s">
        <v>3</v>
      </c>
    </row>
    <row r="111" spans="1:21">
      <c r="A111" s="12" t="str">
        <f t="shared" si="1"/>
        <v/>
      </c>
      <c r="B111" s="13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5" t="s">
        <v>3</v>
      </c>
    </row>
    <row r="112" spans="1:21">
      <c r="A112" s="12" t="str">
        <f t="shared" si="1"/>
        <v/>
      </c>
      <c r="B112" s="13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5" t="s">
        <v>3</v>
      </c>
    </row>
    <row r="113" spans="1:21">
      <c r="A113" s="12" t="str">
        <f t="shared" si="1"/>
        <v/>
      </c>
      <c r="B113" s="13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5" t="s">
        <v>3</v>
      </c>
    </row>
    <row r="114" spans="1:21">
      <c r="A114" s="12" t="str">
        <f t="shared" si="1"/>
        <v/>
      </c>
      <c r="B114" s="13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5" t="s">
        <v>3</v>
      </c>
    </row>
    <row r="115" spans="1:21">
      <c r="A115" s="12" t="str">
        <f t="shared" si="1"/>
        <v/>
      </c>
      <c r="B115" s="13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5" t="s">
        <v>3</v>
      </c>
    </row>
    <row r="116" spans="1:21">
      <c r="A116" s="12" t="str">
        <f t="shared" si="1"/>
        <v/>
      </c>
      <c r="B116" s="13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5" t="s">
        <v>3</v>
      </c>
    </row>
    <row r="117" spans="1:21">
      <c r="A117" s="12" t="str">
        <f t="shared" si="1"/>
        <v/>
      </c>
      <c r="B117" s="13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5" t="s">
        <v>3</v>
      </c>
    </row>
    <row r="118" spans="1:21">
      <c r="A118" s="12" t="str">
        <f t="shared" si="1"/>
        <v/>
      </c>
      <c r="B118" s="13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5" t="s">
        <v>3</v>
      </c>
    </row>
    <row r="119" spans="1:21">
      <c r="A119" s="12" t="str">
        <f t="shared" si="1"/>
        <v/>
      </c>
      <c r="B119" s="13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5" t="s">
        <v>3</v>
      </c>
    </row>
    <row r="120" spans="1:21">
      <c r="A120" s="12" t="str">
        <f t="shared" si="1"/>
        <v/>
      </c>
      <c r="B120" s="13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5" t="s">
        <v>3</v>
      </c>
    </row>
    <row r="121" spans="1:21">
      <c r="A121" s="12" t="str">
        <f t="shared" si="1"/>
        <v/>
      </c>
      <c r="B121" s="13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5" t="s">
        <v>3</v>
      </c>
    </row>
    <row r="122" spans="1:21">
      <c r="A122" s="12" t="str">
        <f t="shared" si="1"/>
        <v/>
      </c>
      <c r="B122" s="13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5" t="s">
        <v>3</v>
      </c>
    </row>
    <row r="123" spans="1:21">
      <c r="A123" s="12" t="str">
        <f t="shared" si="1"/>
        <v/>
      </c>
      <c r="B123" s="13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5" t="s">
        <v>3</v>
      </c>
    </row>
    <row r="124" spans="1:21">
      <c r="A124" s="12" t="str">
        <f t="shared" si="1"/>
        <v/>
      </c>
      <c r="B124" s="13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5" t="s">
        <v>3</v>
      </c>
    </row>
    <row r="125" spans="1:21">
      <c r="A125" s="12" t="str">
        <f t="shared" si="1"/>
        <v/>
      </c>
      <c r="B125" s="13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5" t="s">
        <v>3</v>
      </c>
    </row>
    <row r="126" spans="1:21">
      <c r="A126" s="12" t="str">
        <f t="shared" si="1"/>
        <v/>
      </c>
      <c r="B126" s="13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5" t="s">
        <v>3</v>
      </c>
    </row>
    <row r="127" spans="1:21">
      <c r="A127" s="12" t="str">
        <f t="shared" si="1"/>
        <v/>
      </c>
      <c r="B127" s="13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5" t="s">
        <v>3</v>
      </c>
    </row>
    <row r="128" spans="1:21">
      <c r="A128" s="12" t="str">
        <f t="shared" si="1"/>
        <v/>
      </c>
      <c r="B128" s="13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5" t="s">
        <v>3</v>
      </c>
    </row>
    <row r="129" spans="1:21">
      <c r="A129" s="12" t="str">
        <f t="shared" si="1"/>
        <v/>
      </c>
      <c r="B129" s="13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5" t="s">
        <v>3</v>
      </c>
    </row>
    <row r="130" spans="1:21">
      <c r="A130" s="12" t="str">
        <f t="shared" si="1"/>
        <v/>
      </c>
      <c r="B130" s="13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5" t="s">
        <v>3</v>
      </c>
    </row>
    <row r="131" spans="1:21">
      <c r="A131" s="12" t="str">
        <f t="shared" si="1"/>
        <v/>
      </c>
      <c r="B131" s="13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5" t="s">
        <v>3</v>
      </c>
    </row>
    <row r="132" spans="1:21">
      <c r="A132" s="12" t="str">
        <f t="shared" si="1"/>
        <v/>
      </c>
      <c r="B132" s="13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5" t="s">
        <v>3</v>
      </c>
    </row>
    <row r="133" spans="1:21">
      <c r="A133" s="12" t="str">
        <f t="shared" si="1"/>
        <v/>
      </c>
      <c r="B133" s="13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5" t="s">
        <v>3</v>
      </c>
    </row>
    <row r="134" spans="1:21">
      <c r="A134" s="12" t="str">
        <f t="shared" si="1"/>
        <v/>
      </c>
      <c r="B134" s="13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5" t="s">
        <v>3</v>
      </c>
    </row>
    <row r="135" spans="1:21">
      <c r="A135" s="12" t="str">
        <f t="shared" ref="A135:A198" si="2">IF(B135="","","LPI-"&amp;TEXT(ROW()-6,"0000"))</f>
        <v/>
      </c>
      <c r="B135" s="13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5" t="s">
        <v>3</v>
      </c>
    </row>
    <row r="136" spans="1:21">
      <c r="A136" s="12" t="str">
        <f t="shared" si="2"/>
        <v/>
      </c>
      <c r="B136" s="13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5" t="s">
        <v>3</v>
      </c>
    </row>
    <row r="137" spans="1:21">
      <c r="A137" s="12" t="str">
        <f t="shared" si="2"/>
        <v/>
      </c>
      <c r="B137" s="13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5" t="s">
        <v>3</v>
      </c>
    </row>
    <row r="138" spans="1:21">
      <c r="A138" s="12" t="str">
        <f t="shared" si="2"/>
        <v/>
      </c>
      <c r="B138" s="13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5" t="s">
        <v>3</v>
      </c>
    </row>
    <row r="139" spans="1:21">
      <c r="A139" s="12" t="str">
        <f t="shared" si="2"/>
        <v/>
      </c>
      <c r="B139" s="13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5" t="s">
        <v>3</v>
      </c>
    </row>
    <row r="140" spans="1:21">
      <c r="A140" s="12" t="str">
        <f t="shared" si="2"/>
        <v/>
      </c>
      <c r="B140" s="13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5" t="s">
        <v>3</v>
      </c>
    </row>
    <row r="141" spans="1:21">
      <c r="A141" s="12" t="str">
        <f t="shared" si="2"/>
        <v/>
      </c>
      <c r="B141" s="13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5" t="s">
        <v>3</v>
      </c>
    </row>
    <row r="142" spans="1:21">
      <c r="A142" s="12" t="str">
        <f t="shared" si="2"/>
        <v/>
      </c>
      <c r="B142" s="13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5" t="s">
        <v>3</v>
      </c>
    </row>
    <row r="143" spans="1:21">
      <c r="A143" s="12" t="str">
        <f t="shared" si="2"/>
        <v/>
      </c>
      <c r="B143" s="13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5" t="s">
        <v>3</v>
      </c>
    </row>
    <row r="144" spans="1:21">
      <c r="A144" s="12" t="str">
        <f t="shared" si="2"/>
        <v/>
      </c>
      <c r="B144" s="13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5" t="s">
        <v>3</v>
      </c>
    </row>
    <row r="145" spans="1:21">
      <c r="A145" s="12" t="str">
        <f t="shared" si="2"/>
        <v/>
      </c>
      <c r="B145" s="13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5" t="s">
        <v>3</v>
      </c>
    </row>
    <row r="146" spans="1:21">
      <c r="A146" s="12" t="str">
        <f t="shared" si="2"/>
        <v/>
      </c>
      <c r="B146" s="13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5" t="s">
        <v>3</v>
      </c>
    </row>
    <row r="147" spans="1:21">
      <c r="A147" s="12" t="str">
        <f t="shared" si="2"/>
        <v/>
      </c>
      <c r="B147" s="13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5" t="s">
        <v>3</v>
      </c>
    </row>
    <row r="148" spans="1:21">
      <c r="A148" s="12" t="str">
        <f t="shared" si="2"/>
        <v/>
      </c>
      <c r="B148" s="13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5" t="s">
        <v>3</v>
      </c>
    </row>
    <row r="149" spans="1:21">
      <c r="A149" s="12" t="str">
        <f t="shared" si="2"/>
        <v/>
      </c>
      <c r="B149" s="13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5" t="s">
        <v>3</v>
      </c>
    </row>
    <row r="150" spans="1:21">
      <c r="A150" s="12" t="str">
        <f t="shared" si="2"/>
        <v/>
      </c>
      <c r="B150" s="13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5" t="s">
        <v>3</v>
      </c>
    </row>
    <row r="151" spans="1:21">
      <c r="A151" s="12" t="str">
        <f t="shared" si="2"/>
        <v/>
      </c>
      <c r="B151" s="13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5" t="s">
        <v>3</v>
      </c>
    </row>
    <row r="152" spans="1:21">
      <c r="A152" s="12" t="str">
        <f t="shared" si="2"/>
        <v/>
      </c>
      <c r="B152" s="13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5" t="s">
        <v>3</v>
      </c>
    </row>
    <row r="153" spans="1:21">
      <c r="A153" s="12" t="str">
        <f t="shared" si="2"/>
        <v/>
      </c>
      <c r="B153" s="13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5" t="s">
        <v>3</v>
      </c>
    </row>
    <row r="154" spans="1:21">
      <c r="A154" s="12" t="str">
        <f t="shared" si="2"/>
        <v/>
      </c>
      <c r="B154" s="13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5" t="s">
        <v>3</v>
      </c>
    </row>
    <row r="155" spans="1:21">
      <c r="A155" s="12" t="str">
        <f t="shared" si="2"/>
        <v/>
      </c>
      <c r="B155" s="13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5" t="s">
        <v>3</v>
      </c>
    </row>
    <row r="156" spans="1:21">
      <c r="A156" s="12" t="str">
        <f t="shared" si="2"/>
        <v/>
      </c>
      <c r="B156" s="13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5" t="s">
        <v>3</v>
      </c>
    </row>
    <row r="157" spans="1:21">
      <c r="A157" s="12" t="str">
        <f t="shared" si="2"/>
        <v/>
      </c>
      <c r="B157" s="13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5" t="s">
        <v>3</v>
      </c>
    </row>
    <row r="158" spans="1:21">
      <c r="A158" s="12" t="str">
        <f t="shared" si="2"/>
        <v/>
      </c>
      <c r="B158" s="13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5" t="s">
        <v>3</v>
      </c>
    </row>
    <row r="159" spans="1:21">
      <c r="A159" s="12" t="str">
        <f t="shared" si="2"/>
        <v/>
      </c>
      <c r="B159" s="13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5" t="s">
        <v>3</v>
      </c>
    </row>
    <row r="160" spans="1:21">
      <c r="A160" s="12" t="str">
        <f t="shared" si="2"/>
        <v/>
      </c>
      <c r="B160" s="13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5" t="s">
        <v>3</v>
      </c>
    </row>
    <row r="161" spans="1:21">
      <c r="A161" s="12" t="str">
        <f t="shared" si="2"/>
        <v/>
      </c>
      <c r="B161" s="13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5" t="s">
        <v>3</v>
      </c>
    </row>
    <row r="162" spans="1:21">
      <c r="A162" s="12" t="str">
        <f t="shared" si="2"/>
        <v/>
      </c>
      <c r="B162" s="13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5" t="s">
        <v>3</v>
      </c>
    </row>
    <row r="163" spans="1:21">
      <c r="A163" s="12" t="str">
        <f t="shared" si="2"/>
        <v/>
      </c>
      <c r="B163" s="13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5" t="s">
        <v>3</v>
      </c>
    </row>
    <row r="164" spans="1:21">
      <c r="A164" s="12" t="str">
        <f t="shared" si="2"/>
        <v/>
      </c>
      <c r="B164" s="13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5" t="s">
        <v>3</v>
      </c>
    </row>
    <row r="165" spans="1:21">
      <c r="A165" s="12" t="str">
        <f t="shared" si="2"/>
        <v/>
      </c>
      <c r="B165" s="13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5" t="s">
        <v>3</v>
      </c>
    </row>
    <row r="166" spans="1:21">
      <c r="A166" s="12" t="str">
        <f t="shared" si="2"/>
        <v/>
      </c>
      <c r="B166" s="13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5" t="s">
        <v>3</v>
      </c>
    </row>
    <row r="167" spans="1:21">
      <c r="A167" s="12" t="str">
        <f t="shared" si="2"/>
        <v/>
      </c>
      <c r="B167" s="13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5" t="s">
        <v>3</v>
      </c>
    </row>
    <row r="168" spans="1:21">
      <c r="A168" s="12" t="str">
        <f t="shared" si="2"/>
        <v/>
      </c>
      <c r="B168" s="13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5" t="s">
        <v>3</v>
      </c>
    </row>
    <row r="169" spans="1:21">
      <c r="A169" s="12" t="str">
        <f t="shared" si="2"/>
        <v/>
      </c>
      <c r="B169" s="13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5" t="s">
        <v>3</v>
      </c>
    </row>
    <row r="170" spans="1:21">
      <c r="A170" s="12" t="str">
        <f t="shared" si="2"/>
        <v/>
      </c>
      <c r="B170" s="13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5" t="s">
        <v>3</v>
      </c>
    </row>
    <row r="171" spans="1:21">
      <c r="A171" s="12" t="str">
        <f t="shared" si="2"/>
        <v/>
      </c>
      <c r="B171" s="13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5" t="s">
        <v>3</v>
      </c>
    </row>
    <row r="172" spans="1:21">
      <c r="A172" s="12" t="str">
        <f t="shared" si="2"/>
        <v/>
      </c>
      <c r="B172" s="13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5" t="s">
        <v>3</v>
      </c>
    </row>
    <row r="173" spans="1:21">
      <c r="A173" s="12" t="str">
        <f t="shared" si="2"/>
        <v/>
      </c>
      <c r="B173" s="13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5" t="s">
        <v>3</v>
      </c>
    </row>
    <row r="174" spans="1:21">
      <c r="A174" s="12" t="str">
        <f t="shared" si="2"/>
        <v/>
      </c>
      <c r="B174" s="13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5" t="s">
        <v>3</v>
      </c>
    </row>
    <row r="175" spans="1:21">
      <c r="A175" s="12" t="str">
        <f t="shared" si="2"/>
        <v/>
      </c>
      <c r="B175" s="13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5" t="s">
        <v>3</v>
      </c>
    </row>
    <row r="176" spans="1:21">
      <c r="A176" s="12" t="str">
        <f t="shared" si="2"/>
        <v/>
      </c>
      <c r="B176" s="13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5" t="s">
        <v>3</v>
      </c>
    </row>
    <row r="177" spans="1:21">
      <c r="A177" s="12" t="str">
        <f t="shared" si="2"/>
        <v/>
      </c>
      <c r="B177" s="13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5" t="s">
        <v>3</v>
      </c>
    </row>
    <row r="178" spans="1:21">
      <c r="A178" s="12" t="str">
        <f t="shared" si="2"/>
        <v/>
      </c>
      <c r="B178" s="13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5" t="s">
        <v>3</v>
      </c>
    </row>
    <row r="179" spans="1:21">
      <c r="A179" s="12" t="str">
        <f t="shared" si="2"/>
        <v/>
      </c>
      <c r="B179" s="13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5" t="s">
        <v>3</v>
      </c>
    </row>
    <row r="180" spans="1:21">
      <c r="A180" s="12" t="str">
        <f t="shared" si="2"/>
        <v/>
      </c>
      <c r="B180" s="13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5" t="s">
        <v>3</v>
      </c>
    </row>
    <row r="181" spans="1:21">
      <c r="A181" s="12" t="str">
        <f t="shared" si="2"/>
        <v/>
      </c>
      <c r="B181" s="13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5" t="s">
        <v>3</v>
      </c>
    </row>
    <row r="182" spans="1:21">
      <c r="A182" s="12" t="str">
        <f t="shared" si="2"/>
        <v/>
      </c>
      <c r="B182" s="13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5" t="s">
        <v>3</v>
      </c>
    </row>
    <row r="183" spans="1:21">
      <c r="A183" s="12" t="str">
        <f t="shared" si="2"/>
        <v/>
      </c>
      <c r="B183" s="13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5" t="s">
        <v>3</v>
      </c>
    </row>
    <row r="184" spans="1:21">
      <c r="A184" s="12" t="str">
        <f t="shared" si="2"/>
        <v/>
      </c>
      <c r="B184" s="13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5" t="s">
        <v>3</v>
      </c>
    </row>
    <row r="185" spans="1:21">
      <c r="A185" s="12" t="str">
        <f t="shared" si="2"/>
        <v/>
      </c>
      <c r="B185" s="13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5" t="s">
        <v>3</v>
      </c>
    </row>
    <row r="186" spans="1:21">
      <c r="A186" s="12" t="str">
        <f t="shared" si="2"/>
        <v/>
      </c>
      <c r="B186" s="13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5" t="s">
        <v>3</v>
      </c>
    </row>
    <row r="187" spans="1:21">
      <c r="A187" s="12" t="str">
        <f t="shared" si="2"/>
        <v/>
      </c>
      <c r="B187" s="13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5" t="s">
        <v>3</v>
      </c>
    </row>
    <row r="188" spans="1:21">
      <c r="A188" s="12" t="str">
        <f t="shared" si="2"/>
        <v/>
      </c>
      <c r="B188" s="13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5" t="s">
        <v>3</v>
      </c>
    </row>
    <row r="189" spans="1:21">
      <c r="A189" s="12" t="str">
        <f t="shared" si="2"/>
        <v/>
      </c>
      <c r="B189" s="13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5" t="s">
        <v>3</v>
      </c>
    </row>
    <row r="190" spans="1:21">
      <c r="A190" s="12" t="str">
        <f t="shared" si="2"/>
        <v/>
      </c>
      <c r="B190" s="13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5" t="s">
        <v>3</v>
      </c>
    </row>
    <row r="191" spans="1:21">
      <c r="A191" s="12" t="str">
        <f t="shared" si="2"/>
        <v/>
      </c>
      <c r="B191" s="13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5" t="s">
        <v>3</v>
      </c>
    </row>
    <row r="192" spans="1:21">
      <c r="A192" s="12" t="str">
        <f t="shared" si="2"/>
        <v/>
      </c>
      <c r="B192" s="13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5" t="s">
        <v>3</v>
      </c>
    </row>
    <row r="193" spans="1:21">
      <c r="A193" s="12" t="str">
        <f t="shared" si="2"/>
        <v/>
      </c>
      <c r="B193" s="13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5" t="s">
        <v>3</v>
      </c>
    </row>
    <row r="194" spans="1:21">
      <c r="A194" s="12" t="str">
        <f t="shared" si="2"/>
        <v/>
      </c>
      <c r="B194" s="13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5" t="s">
        <v>3</v>
      </c>
    </row>
    <row r="195" spans="1:21">
      <c r="A195" s="12" t="str">
        <f t="shared" si="2"/>
        <v/>
      </c>
      <c r="B195" s="13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5" t="s">
        <v>3</v>
      </c>
    </row>
    <row r="196" spans="1:21">
      <c r="A196" s="12" t="str">
        <f t="shared" si="2"/>
        <v/>
      </c>
      <c r="B196" s="13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5" t="s">
        <v>3</v>
      </c>
    </row>
    <row r="197" spans="1:21">
      <c r="A197" s="12" t="str">
        <f t="shared" si="2"/>
        <v/>
      </c>
      <c r="B197" s="13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5" t="s">
        <v>3</v>
      </c>
    </row>
    <row r="198" spans="1:21">
      <c r="A198" s="12" t="str">
        <f t="shared" si="2"/>
        <v/>
      </c>
      <c r="B198" s="13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5" t="s">
        <v>3</v>
      </c>
    </row>
    <row r="199" spans="1:21">
      <c r="A199" s="12" t="str">
        <f t="shared" ref="A199:A206" si="3">IF(B199="","","LPI-"&amp;TEXT(ROW()-6,"0000"))</f>
        <v/>
      </c>
      <c r="B199" s="13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5" t="s">
        <v>3</v>
      </c>
    </row>
    <row r="200" spans="1:21">
      <c r="A200" s="12" t="str">
        <f t="shared" si="3"/>
        <v/>
      </c>
      <c r="B200" s="13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5" t="s">
        <v>3</v>
      </c>
    </row>
    <row r="201" spans="1:21">
      <c r="A201" s="12" t="str">
        <f t="shared" si="3"/>
        <v/>
      </c>
      <c r="B201" s="13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5" t="s">
        <v>3</v>
      </c>
    </row>
    <row r="202" spans="1:21">
      <c r="A202" s="12" t="str">
        <f t="shared" si="3"/>
        <v/>
      </c>
      <c r="B202" s="13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5" t="s">
        <v>3</v>
      </c>
    </row>
    <row r="203" spans="1:21">
      <c r="A203" s="12" t="str">
        <f t="shared" si="3"/>
        <v/>
      </c>
      <c r="B203" s="13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5" t="s">
        <v>3</v>
      </c>
    </row>
    <row r="204" spans="1:21">
      <c r="A204" s="12" t="str">
        <f t="shared" si="3"/>
        <v/>
      </c>
      <c r="B204" s="13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5" t="s">
        <v>3</v>
      </c>
    </row>
    <row r="205" spans="1:21">
      <c r="A205" s="12" t="str">
        <f t="shared" si="3"/>
        <v/>
      </c>
      <c r="B205" s="13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5" t="s">
        <v>3</v>
      </c>
    </row>
    <row r="206" spans="1:21">
      <c r="A206" s="12" t="str">
        <f t="shared" si="3"/>
        <v/>
      </c>
      <c r="B206" s="13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5" t="s">
        <v>3</v>
      </c>
    </row>
  </sheetData>
  <mergeCells count="12">
    <mergeCell ref="A1:T1"/>
    <mergeCell ref="A4:B4"/>
    <mergeCell ref="C4:D4"/>
    <mergeCell ref="E4:F4"/>
    <mergeCell ref="G4:H4"/>
    <mergeCell ref="I4:T4"/>
    <mergeCell ref="A5:B5"/>
    <mergeCell ref="C5:D5"/>
    <mergeCell ref="E5:F5"/>
    <mergeCell ref="G5:H5"/>
    <mergeCell ref="I5:T5"/>
    <mergeCell ref="A2:T3"/>
  </mergeCells>
  <conditionalFormatting sqref="R7:R206">
    <cfRule type="expression" dxfId="0" priority="1">
      <formula>$R7="禁止入库"</formula>
    </cfRule>
    <cfRule type="expression" dxfId="1" priority="2">
      <formula>$R7="需清洗"</formula>
    </cfRule>
  </conditionalFormatting>
  <conditionalFormatting sqref="S7:S206">
    <cfRule type="expression" dxfId="2" priority="3">
      <formula>$S7="A核心画像"</formula>
    </cfRule>
  </conditionalFormatting>
  <dataValidations count="16">
    <dataValidation type="list" sqref="C7:C206">
      <formula1>'02_下拉字典'!$A$4:$A$13</formula1>
    </dataValidation>
    <dataValidation type="list" sqref="D7:D206">
      <formula1>'02_下拉字典'!$B$4:$B$15</formula1>
    </dataValidation>
    <dataValidation type="list" sqref="E7:E206">
      <formula1>'02_下拉字典'!$C$4:$C$13</formula1>
    </dataValidation>
    <dataValidation type="list" sqref="F7:F206">
      <formula1>'02_下拉字典'!$D$4:$D$14</formula1>
    </dataValidation>
    <dataValidation type="list" sqref="G7:G206">
      <formula1>'02_下拉字典'!$E$4:$E$12</formula1>
    </dataValidation>
    <dataValidation type="list" sqref="H7:H206">
      <formula1>'02_下拉字典'!$F$4:$F$14</formula1>
    </dataValidation>
    <dataValidation type="list" sqref="I7:I206">
      <formula1>'02_下拉字典'!$G$4:$G$14</formula1>
    </dataValidation>
    <dataValidation type="list" sqref="J7:J206">
      <formula1>'02_下拉字典'!$H$4:$H$14</formula1>
    </dataValidation>
    <dataValidation type="list" sqref="L7:L206">
      <formula1>'02_下拉字典'!$I$4:$I$14</formula1>
    </dataValidation>
    <dataValidation type="list" sqref="M7:M206">
      <formula1>'02_下拉字典'!$J$4:$J$12</formula1>
    </dataValidation>
    <dataValidation type="list" sqref="N7:N206">
      <formula1>'02_下拉字典'!$K$4:$K$11</formula1>
    </dataValidation>
    <dataValidation type="list" sqref="O7:O206">
      <formula1>'02_下拉字典'!$L$4:$L$11</formula1>
    </dataValidation>
    <dataValidation type="list" sqref="R7:R206">
      <formula1>'02_下拉字典'!$O$4:$O$6</formula1>
    </dataValidation>
    <dataValidation type="list" sqref="S7:S206">
      <formula1>'02_下拉字典'!$N$4:$N$7</formula1>
    </dataValidation>
    <dataValidation type="list" sqref="U7:U206">
      <formula1>'02_下拉字典'!$P$4:$P$13</formula1>
    </dataValidation>
    <dataValidation type="list" sqref="V7:V200">
      <formula1>'02_下拉字典'!$Q$4:$Q$9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5"/>
  <sheetViews>
    <sheetView workbookViewId="0">
      <selection activeCell="A1" sqref="A1:K1"/>
    </sheetView>
  </sheetViews>
  <sheetFormatPr defaultColWidth="9" defaultRowHeight="13.8"/>
  <cols>
    <col min="1" max="16" width="16" customWidth="1"/>
    <col min="17" max="17" width="18" customWidth="1"/>
  </cols>
  <sheetData>
    <row r="1" ht="32" customHeight="1" spans="1:17">
      <c r="A1" s="1" t="s">
        <v>240</v>
      </c>
    </row>
    <row r="3" spans="1:17">
      <c r="A3" s="3" t="s">
        <v>241</v>
      </c>
      <c r="B3" s="3" t="s">
        <v>242</v>
      </c>
      <c r="C3" s="3" t="s">
        <v>243</v>
      </c>
      <c r="D3" s="3" t="s">
        <v>244</v>
      </c>
      <c r="E3" s="3" t="s">
        <v>226</v>
      </c>
      <c r="F3" s="3" t="s">
        <v>227</v>
      </c>
      <c r="G3" s="3" t="s">
        <v>228</v>
      </c>
      <c r="H3" s="3" t="s">
        <v>245</v>
      </c>
      <c r="I3" s="3" t="s">
        <v>246</v>
      </c>
      <c r="J3" s="3" t="s">
        <v>232</v>
      </c>
      <c r="K3" s="3" t="s">
        <v>233</v>
      </c>
      <c r="L3" s="3" t="s">
        <v>234</v>
      </c>
      <c r="M3" s="3" t="s">
        <v>247</v>
      </c>
      <c r="N3" s="3" t="s">
        <v>248</v>
      </c>
      <c r="O3" s="3" t="s">
        <v>249</v>
      </c>
      <c r="P3" s="3" t="s">
        <v>80</v>
      </c>
      <c r="Q3" t="s">
        <v>169</v>
      </c>
    </row>
    <row r="4" spans="1:17">
      <c r="A4" s="2" t="s">
        <v>250</v>
      </c>
      <c r="B4" s="2" t="s">
        <v>251</v>
      </c>
      <c r="C4" s="2" t="s">
        <v>252</v>
      </c>
      <c r="D4" s="2" t="s">
        <v>253</v>
      </c>
      <c r="E4" s="2" t="s">
        <v>254</v>
      </c>
      <c r="F4" s="2" t="s">
        <v>255</v>
      </c>
      <c r="G4" s="2" t="s">
        <v>256</v>
      </c>
      <c r="H4" s="2" t="s">
        <v>257</v>
      </c>
      <c r="I4" s="2" t="s">
        <v>258</v>
      </c>
      <c r="J4" s="2" t="s">
        <v>259</v>
      </c>
      <c r="K4" s="2" t="s">
        <v>260</v>
      </c>
      <c r="L4" s="2" t="s">
        <v>261</v>
      </c>
      <c r="M4" s="2" t="s">
        <v>262</v>
      </c>
      <c r="N4" s="2" t="s">
        <v>216</v>
      </c>
      <c r="O4" s="2" t="s">
        <v>263</v>
      </c>
      <c r="P4" s="2" t="s">
        <v>87</v>
      </c>
      <c r="Q4" t="s">
        <v>173</v>
      </c>
    </row>
    <row r="5" spans="1:17">
      <c r="A5" s="2" t="s">
        <v>264</v>
      </c>
      <c r="B5" s="2" t="s">
        <v>265</v>
      </c>
      <c r="C5" s="2" t="s">
        <v>266</v>
      </c>
      <c r="D5" s="2" t="s">
        <v>267</v>
      </c>
      <c r="E5" s="2" t="s">
        <v>268</v>
      </c>
      <c r="F5" s="2" t="s">
        <v>269</v>
      </c>
      <c r="G5" s="2" t="s">
        <v>270</v>
      </c>
      <c r="H5" s="2" t="s">
        <v>271</v>
      </c>
      <c r="I5" s="2" t="s">
        <v>272</v>
      </c>
      <c r="J5" s="2" t="s">
        <v>273</v>
      </c>
      <c r="K5" s="2" t="s">
        <v>274</v>
      </c>
      <c r="L5" s="2" t="s">
        <v>275</v>
      </c>
      <c r="M5" s="2" t="s">
        <v>276</v>
      </c>
      <c r="N5" s="2" t="s">
        <v>277</v>
      </c>
      <c r="O5" s="2" t="s">
        <v>278</v>
      </c>
      <c r="P5" s="2" t="s">
        <v>108</v>
      </c>
      <c r="Q5" t="s">
        <v>112</v>
      </c>
    </row>
    <row r="6" spans="1:17">
      <c r="A6" s="2" t="s">
        <v>279</v>
      </c>
      <c r="B6" s="2" t="s">
        <v>280</v>
      </c>
      <c r="C6" s="2" t="s">
        <v>281</v>
      </c>
      <c r="D6" s="2" t="s">
        <v>282</v>
      </c>
      <c r="E6" s="2" t="s">
        <v>283</v>
      </c>
      <c r="F6" s="2" t="s">
        <v>284</v>
      </c>
      <c r="G6" s="2" t="s">
        <v>285</v>
      </c>
      <c r="H6" s="2" t="s">
        <v>286</v>
      </c>
      <c r="I6" s="2" t="s">
        <v>287</v>
      </c>
      <c r="J6" s="2" t="s">
        <v>288</v>
      </c>
      <c r="K6" s="2" t="s">
        <v>289</v>
      </c>
      <c r="L6" s="2" t="s">
        <v>290</v>
      </c>
      <c r="M6" s="2" t="s">
        <v>291</v>
      </c>
      <c r="N6" s="2" t="s">
        <v>292</v>
      </c>
      <c r="O6" s="2" t="s">
        <v>217</v>
      </c>
      <c r="P6" s="2" t="s">
        <v>122</v>
      </c>
      <c r="Q6" t="s">
        <v>185</v>
      </c>
    </row>
    <row r="7" spans="1:17">
      <c r="A7" s="2" t="s">
        <v>293</v>
      </c>
      <c r="B7" s="2" t="s">
        <v>294</v>
      </c>
      <c r="C7" s="2" t="s">
        <v>295</v>
      </c>
      <c r="D7" s="2" t="s">
        <v>296</v>
      </c>
      <c r="E7" s="2" t="s">
        <v>297</v>
      </c>
      <c r="F7" s="2" t="s">
        <v>298</v>
      </c>
      <c r="G7" s="2" t="s">
        <v>299</v>
      </c>
      <c r="H7" s="2" t="s">
        <v>300</v>
      </c>
      <c r="I7" s="2" t="s">
        <v>301</v>
      </c>
      <c r="J7" s="2" t="s">
        <v>302</v>
      </c>
      <c r="K7" s="2" t="s">
        <v>303</v>
      </c>
      <c r="L7" s="2" t="s">
        <v>304</v>
      </c>
      <c r="M7" s="2" t="s">
        <v>305</v>
      </c>
      <c r="N7" s="2" t="s">
        <v>306</v>
      </c>
      <c r="O7" s="2"/>
      <c r="P7" s="2" t="s">
        <v>115</v>
      </c>
      <c r="Q7" t="s">
        <v>192</v>
      </c>
    </row>
    <row r="8" spans="1:17">
      <c r="A8" s="2" t="s">
        <v>307</v>
      </c>
      <c r="B8" s="2" t="s">
        <v>308</v>
      </c>
      <c r="C8" s="2" t="s">
        <v>309</v>
      </c>
      <c r="D8" s="2" t="s">
        <v>310</v>
      </c>
      <c r="E8" s="2" t="s">
        <v>311</v>
      </c>
      <c r="F8" s="2" t="s">
        <v>312</v>
      </c>
      <c r="G8" s="2" t="s">
        <v>313</v>
      </c>
      <c r="H8" s="2" t="s">
        <v>314</v>
      </c>
      <c r="I8" s="2" t="s">
        <v>315</v>
      </c>
      <c r="J8" s="2" t="s">
        <v>316</v>
      </c>
      <c r="K8" s="2" t="s">
        <v>317</v>
      </c>
      <c r="L8" s="2" t="s">
        <v>318</v>
      </c>
      <c r="M8" s="2" t="s">
        <v>319</v>
      </c>
      <c r="N8" s="2"/>
      <c r="O8" s="2"/>
      <c r="P8" s="2" t="s">
        <v>136</v>
      </c>
      <c r="Q8" t="s">
        <v>198</v>
      </c>
    </row>
    <row r="9" spans="1:17">
      <c r="A9" s="2" t="s">
        <v>320</v>
      </c>
      <c r="B9" s="2" t="s">
        <v>321</v>
      </c>
      <c r="C9" s="2" t="s">
        <v>320</v>
      </c>
      <c r="D9" s="2" t="s">
        <v>322</v>
      </c>
      <c r="E9" s="2" t="s">
        <v>323</v>
      </c>
      <c r="F9" s="2" t="s">
        <v>324</v>
      </c>
      <c r="G9" s="2" t="s">
        <v>325</v>
      </c>
      <c r="H9" s="2" t="s">
        <v>326</v>
      </c>
      <c r="I9" s="2" t="s">
        <v>327</v>
      </c>
      <c r="J9" s="2" t="s">
        <v>328</v>
      </c>
      <c r="K9" s="2" t="s">
        <v>329</v>
      </c>
      <c r="L9" s="2" t="s">
        <v>330</v>
      </c>
      <c r="M9" s="2" t="s">
        <v>331</v>
      </c>
      <c r="N9" s="2"/>
      <c r="O9" s="2"/>
      <c r="P9" s="2" t="s">
        <v>143</v>
      </c>
      <c r="Q9" t="s">
        <v>204</v>
      </c>
    </row>
    <row r="10" spans="1:17">
      <c r="A10" s="2" t="s">
        <v>332</v>
      </c>
      <c r="B10" s="2" t="s">
        <v>333</v>
      </c>
      <c r="C10" s="2" t="s">
        <v>332</v>
      </c>
      <c r="D10" s="2" t="s">
        <v>334</v>
      </c>
      <c r="E10" s="2" t="s">
        <v>335</v>
      </c>
      <c r="F10" s="2" t="s">
        <v>336</v>
      </c>
      <c r="G10" s="2" t="s">
        <v>337</v>
      </c>
      <c r="H10" s="2" t="s">
        <v>338</v>
      </c>
      <c r="I10" s="2" t="s">
        <v>339</v>
      </c>
      <c r="J10" s="2" t="s">
        <v>340</v>
      </c>
      <c r="K10" s="2" t="s">
        <v>341</v>
      </c>
      <c r="L10" s="2" t="s">
        <v>342</v>
      </c>
      <c r="M10" s="2" t="s">
        <v>343</v>
      </c>
      <c r="N10" s="2"/>
      <c r="O10" s="2"/>
      <c r="P10" s="2" t="s">
        <v>101</v>
      </c>
    </row>
    <row r="11" spans="1:17">
      <c r="A11" s="2" t="s">
        <v>344</v>
      </c>
      <c r="B11" s="2" t="s">
        <v>345</v>
      </c>
      <c r="C11" s="2" t="s">
        <v>346</v>
      </c>
      <c r="D11" s="2" t="s">
        <v>347</v>
      </c>
      <c r="E11" s="2" t="s">
        <v>348</v>
      </c>
      <c r="F11" s="2" t="s">
        <v>349</v>
      </c>
      <c r="G11" s="2" t="s">
        <v>350</v>
      </c>
      <c r="H11" s="2" t="s">
        <v>351</v>
      </c>
      <c r="I11" s="2" t="s">
        <v>352</v>
      </c>
      <c r="J11" s="2" t="s">
        <v>353</v>
      </c>
      <c r="K11" s="2" t="s">
        <v>354</v>
      </c>
      <c r="L11" s="2" t="s">
        <v>355</v>
      </c>
      <c r="M11" s="2"/>
      <c r="N11" s="2"/>
      <c r="O11" s="2"/>
      <c r="P11" s="2" t="s">
        <v>129</v>
      </c>
    </row>
    <row r="12" spans="1:17">
      <c r="A12" s="2" t="s">
        <v>356</v>
      </c>
      <c r="B12" s="2" t="s">
        <v>357</v>
      </c>
      <c r="C12" s="2" t="s">
        <v>358</v>
      </c>
      <c r="D12" s="2" t="s">
        <v>335</v>
      </c>
      <c r="E12" s="2" t="s">
        <v>359</v>
      </c>
      <c r="F12" s="2" t="s">
        <v>360</v>
      </c>
      <c r="G12" s="2" t="s">
        <v>361</v>
      </c>
      <c r="H12" s="2" t="s">
        <v>362</v>
      </c>
      <c r="I12" s="2" t="s">
        <v>363</v>
      </c>
      <c r="J12" s="2" t="s">
        <v>364</v>
      </c>
      <c r="K12" s="2"/>
      <c r="L12" s="2"/>
      <c r="M12" s="2"/>
      <c r="N12" s="2"/>
      <c r="O12" s="2"/>
      <c r="P12" s="2" t="s">
        <v>94</v>
      </c>
    </row>
    <row r="13" spans="1:17">
      <c r="A13" s="2" t="s">
        <v>359</v>
      </c>
      <c r="B13" s="2" t="s">
        <v>365</v>
      </c>
      <c r="C13" s="2" t="s">
        <v>366</v>
      </c>
      <c r="D13" s="2" t="s">
        <v>283</v>
      </c>
      <c r="E13" s="2"/>
      <c r="F13" s="2" t="s">
        <v>367</v>
      </c>
      <c r="G13" s="2" t="s">
        <v>368</v>
      </c>
      <c r="H13" s="2" t="s">
        <v>369</v>
      </c>
      <c r="I13" s="2" t="s">
        <v>370</v>
      </c>
      <c r="J13" s="2"/>
      <c r="K13" s="2"/>
      <c r="L13" s="2"/>
      <c r="M13" s="2"/>
      <c r="N13" s="2"/>
      <c r="O13" s="2"/>
      <c r="P13" s="2" t="s">
        <v>150</v>
      </c>
    </row>
    <row r="14" spans="1:17">
      <c r="A14" s="2"/>
      <c r="B14" s="2" t="s">
        <v>371</v>
      </c>
      <c r="C14" s="2"/>
      <c r="D14" s="2" t="s">
        <v>359</v>
      </c>
      <c r="E14" s="2"/>
      <c r="F14" s="2" t="s">
        <v>359</v>
      </c>
      <c r="G14" s="2" t="s">
        <v>359</v>
      </c>
      <c r="H14" s="2" t="s">
        <v>372</v>
      </c>
      <c r="I14" s="2" t="s">
        <v>359</v>
      </c>
      <c r="J14" s="2"/>
      <c r="K14" s="2"/>
      <c r="L14" s="2"/>
      <c r="M14" s="2"/>
      <c r="N14" s="2"/>
      <c r="O14" s="2"/>
      <c r="P14" s="2"/>
    </row>
    <row r="15" spans="1:17">
      <c r="A15" s="2"/>
      <c r="B15" s="2" t="s">
        <v>359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7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</sheetData>
  <mergeCells count="1">
    <mergeCell ref="A1:K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workbookViewId="0">
      <selection activeCell="A1" sqref="A1:H1"/>
    </sheetView>
  </sheetViews>
  <sheetFormatPr defaultColWidth="9" defaultRowHeight="13.8" outlineLevelCol="7"/>
  <cols>
    <col min="1" max="1" width="18" customWidth="1"/>
    <col min="2" max="2" width="34" customWidth="1"/>
    <col min="3" max="3" width="24" customWidth="1"/>
    <col min="4" max="8" width="20" customWidth="1"/>
  </cols>
  <sheetData>
    <row r="1" ht="32" customHeight="1" spans="1:8">
      <c r="A1" s="1" t="s">
        <v>373</v>
      </c>
    </row>
    <row r="2" ht="40" customHeight="1" spans="1:8">
      <c r="A2" s="2" t="s">
        <v>374</v>
      </c>
    </row>
    <row r="5" spans="1:8">
      <c r="A5" s="3" t="s">
        <v>82</v>
      </c>
      <c r="B5" s="3" t="s">
        <v>375</v>
      </c>
      <c r="C5" s="3" t="s">
        <v>376</v>
      </c>
      <c r="D5" s="3" t="s">
        <v>377</v>
      </c>
      <c r="E5" s="3" t="s">
        <v>3</v>
      </c>
      <c r="F5" s="3" t="s">
        <v>3</v>
      </c>
      <c r="G5" s="3" t="s">
        <v>3</v>
      </c>
      <c r="H5" s="3" t="s">
        <v>3</v>
      </c>
    </row>
    <row r="6" ht="26.4" spans="1:8">
      <c r="A6" s="2" t="s">
        <v>378</v>
      </c>
      <c r="B6" s="2" t="s">
        <v>379</v>
      </c>
      <c r="C6" s="2" t="s">
        <v>380</v>
      </c>
      <c r="D6" s="2" t="s">
        <v>381</v>
      </c>
      <c r="E6" s="2" t="s">
        <v>3</v>
      </c>
      <c r="F6" s="2" t="s">
        <v>3</v>
      </c>
      <c r="G6" s="2" t="s">
        <v>3</v>
      </c>
      <c r="H6" s="2" t="s">
        <v>3</v>
      </c>
    </row>
    <row r="7" ht="26.4" spans="1:8">
      <c r="A7" s="2" t="s">
        <v>382</v>
      </c>
      <c r="B7" s="2" t="s">
        <v>383</v>
      </c>
      <c r="C7" s="2" t="s">
        <v>384</v>
      </c>
      <c r="D7" s="2" t="s">
        <v>385</v>
      </c>
      <c r="E7" s="2" t="s">
        <v>3</v>
      </c>
      <c r="F7" s="2" t="s">
        <v>3</v>
      </c>
      <c r="G7" s="2" t="s">
        <v>3</v>
      </c>
      <c r="H7" s="2" t="s">
        <v>3</v>
      </c>
    </row>
    <row r="8" ht="24" spans="1:8">
      <c r="A8" s="2" t="s">
        <v>386</v>
      </c>
      <c r="B8" s="2" t="s">
        <v>387</v>
      </c>
      <c r="C8" s="2" t="s">
        <v>388</v>
      </c>
      <c r="D8" s="2" t="s">
        <v>389</v>
      </c>
      <c r="E8" s="2" t="s">
        <v>3</v>
      </c>
      <c r="F8" s="2" t="s">
        <v>3</v>
      </c>
      <c r="G8" s="2" t="s">
        <v>3</v>
      </c>
      <c r="H8" s="2" t="s">
        <v>3</v>
      </c>
    </row>
    <row r="9" ht="24" spans="1:8">
      <c r="A9" s="2" t="s">
        <v>390</v>
      </c>
      <c r="B9" s="2" t="s">
        <v>391</v>
      </c>
      <c r="C9" s="2" t="s">
        <v>392</v>
      </c>
      <c r="D9" s="2" t="s">
        <v>393</v>
      </c>
      <c r="E9" s="2" t="s">
        <v>3</v>
      </c>
      <c r="F9" s="2" t="s">
        <v>3</v>
      </c>
      <c r="G9" s="2" t="s">
        <v>3</v>
      </c>
      <c r="H9" s="2" t="s">
        <v>3</v>
      </c>
    </row>
    <row r="10" ht="26.4" spans="1:8">
      <c r="A10" s="2" t="s">
        <v>394</v>
      </c>
      <c r="B10" s="2" t="s">
        <v>395</v>
      </c>
      <c r="C10" s="2" t="s">
        <v>396</v>
      </c>
      <c r="D10" s="2" t="s">
        <v>397</v>
      </c>
      <c r="E10" s="2" t="s">
        <v>3</v>
      </c>
      <c r="F10" s="2" t="s">
        <v>3</v>
      </c>
      <c r="G10" s="2" t="s">
        <v>3</v>
      </c>
      <c r="H10" s="2" t="s">
        <v>3</v>
      </c>
    </row>
    <row r="11" ht="26.4" spans="1:8">
      <c r="A11" s="2" t="s">
        <v>398</v>
      </c>
      <c r="B11" s="2" t="s">
        <v>399</v>
      </c>
      <c r="C11" s="2" t="s">
        <v>400</v>
      </c>
      <c r="D11" s="2" t="s">
        <v>401</v>
      </c>
      <c r="E11" s="2" t="s">
        <v>3</v>
      </c>
      <c r="F11" s="2" t="s">
        <v>3</v>
      </c>
      <c r="G11" s="2" t="s">
        <v>3</v>
      </c>
      <c r="H11" s="2" t="s">
        <v>3</v>
      </c>
    </row>
    <row r="12" ht="36" spans="1:8">
      <c r="A12" s="2" t="s">
        <v>402</v>
      </c>
      <c r="B12" s="2" t="s">
        <v>403</v>
      </c>
      <c r="C12" s="2" t="s">
        <v>404</v>
      </c>
      <c r="D12" s="2" t="s">
        <v>405</v>
      </c>
      <c r="E12" s="2" t="s">
        <v>3</v>
      </c>
      <c r="F12" s="2" t="s">
        <v>3</v>
      </c>
      <c r="G12" s="2" t="s">
        <v>3</v>
      </c>
      <c r="H12" s="2" t="s">
        <v>3</v>
      </c>
    </row>
    <row r="13" spans="1:8">
      <c r="A13" s="2" t="s">
        <v>406</v>
      </c>
      <c r="B13" s="2" t="s">
        <v>407</v>
      </c>
      <c r="C13" s="2" t="s">
        <v>408</v>
      </c>
      <c r="D13" s="2" t="s">
        <v>409</v>
      </c>
      <c r="E13" s="2" t="s">
        <v>3</v>
      </c>
      <c r="F13" s="2" t="s">
        <v>3</v>
      </c>
      <c r="G13" s="2" t="s">
        <v>3</v>
      </c>
      <c r="H13" s="2" t="s">
        <v>3</v>
      </c>
    </row>
    <row r="14" ht="24" spans="1:8">
      <c r="A14" s="2" t="s">
        <v>410</v>
      </c>
      <c r="B14" s="2" t="s">
        <v>411</v>
      </c>
      <c r="C14" s="2" t="s">
        <v>412</v>
      </c>
      <c r="D14" s="2" t="s">
        <v>413</v>
      </c>
      <c r="E14" s="2" t="s">
        <v>3</v>
      </c>
      <c r="F14" s="2" t="s">
        <v>3</v>
      </c>
      <c r="G14" s="2" t="s">
        <v>3</v>
      </c>
      <c r="H14" s="2" t="s">
        <v>3</v>
      </c>
    </row>
    <row r="15" ht="38.4" spans="1:8">
      <c r="A15" s="2" t="s">
        <v>414</v>
      </c>
      <c r="B15" s="2" t="s">
        <v>415</v>
      </c>
      <c r="C15" s="2" t="s">
        <v>416</v>
      </c>
      <c r="D15" s="2" t="s">
        <v>417</v>
      </c>
      <c r="E15" s="2" t="s">
        <v>3</v>
      </c>
      <c r="F15" s="2" t="s">
        <v>3</v>
      </c>
      <c r="G15" s="2" t="s">
        <v>3</v>
      </c>
      <c r="H15" s="2" t="s">
        <v>3</v>
      </c>
    </row>
    <row r="16" ht="26.4" spans="1:8">
      <c r="A16" s="2" t="s">
        <v>418</v>
      </c>
      <c r="B16" s="2" t="s">
        <v>419</v>
      </c>
      <c r="C16" s="2" t="s">
        <v>420</v>
      </c>
      <c r="D16" s="2" t="s">
        <v>421</v>
      </c>
      <c r="E16" s="2" t="s">
        <v>3</v>
      </c>
      <c r="F16" s="2" t="s">
        <v>3</v>
      </c>
      <c r="G16" s="2" t="s">
        <v>3</v>
      </c>
      <c r="H16" s="2" t="s">
        <v>3</v>
      </c>
    </row>
    <row r="18" ht="15.6" spans="1:8">
      <c r="A18" s="6" t="s">
        <v>422</v>
      </c>
      <c r="B18" s="6" t="s">
        <v>3</v>
      </c>
      <c r="C18" s="6" t="s">
        <v>3</v>
      </c>
      <c r="D18" s="6" t="s">
        <v>3</v>
      </c>
      <c r="E18" s="6" t="s">
        <v>3</v>
      </c>
      <c r="F18" s="6" t="s">
        <v>3</v>
      </c>
      <c r="G18" s="6" t="s">
        <v>3</v>
      </c>
      <c r="H18" s="6" t="s">
        <v>3</v>
      </c>
    </row>
    <row r="19" spans="1:8">
      <c r="A19" s="7" t="s">
        <v>423</v>
      </c>
      <c r="B19" s="7" t="s">
        <v>424</v>
      </c>
      <c r="C19" s="7" t="s">
        <v>425</v>
      </c>
      <c r="D19" s="7" t="s">
        <v>426</v>
      </c>
      <c r="E19" s="7" t="s">
        <v>3</v>
      </c>
      <c r="F19" s="7" t="s">
        <v>3</v>
      </c>
      <c r="G19" s="7" t="s">
        <v>3</v>
      </c>
      <c r="H19" s="7" t="s">
        <v>3</v>
      </c>
    </row>
    <row r="20" ht="24" spans="1:8">
      <c r="A20" s="2" t="s">
        <v>427</v>
      </c>
      <c r="B20" s="2" t="s">
        <v>428</v>
      </c>
      <c r="C20" s="2" t="s">
        <v>429</v>
      </c>
      <c r="D20" s="2" t="s">
        <v>430</v>
      </c>
      <c r="E20" s="2" t="s">
        <v>3</v>
      </c>
      <c r="F20" s="2" t="s">
        <v>3</v>
      </c>
      <c r="G20" s="2" t="s">
        <v>3</v>
      </c>
      <c r="H20" s="2" t="s">
        <v>3</v>
      </c>
    </row>
    <row r="21" ht="24" spans="1:8">
      <c r="A21" s="2" t="s">
        <v>431</v>
      </c>
      <c r="B21" s="2" t="s">
        <v>432</v>
      </c>
      <c r="C21" s="2" t="s">
        <v>433</v>
      </c>
      <c r="D21" s="2" t="s">
        <v>434</v>
      </c>
      <c r="E21" s="2" t="s">
        <v>3</v>
      </c>
      <c r="F21" s="2" t="s">
        <v>3</v>
      </c>
      <c r="G21" s="2" t="s">
        <v>3</v>
      </c>
      <c r="H21" s="2" t="s">
        <v>3</v>
      </c>
    </row>
    <row r="22" ht="24" spans="1:8">
      <c r="A22" s="2" t="s">
        <v>435</v>
      </c>
      <c r="B22" s="2" t="s">
        <v>436</v>
      </c>
      <c r="C22" s="2" t="s">
        <v>437</v>
      </c>
      <c r="D22" s="2" t="s">
        <v>438</v>
      </c>
      <c r="E22" s="2" t="s">
        <v>3</v>
      </c>
      <c r="F22" s="2" t="s">
        <v>3</v>
      </c>
      <c r="G22" s="2" t="s">
        <v>3</v>
      </c>
      <c r="H22" s="2" t="s">
        <v>3</v>
      </c>
    </row>
    <row r="23" ht="36" spans="1:8">
      <c r="A23" s="2" t="s">
        <v>439</v>
      </c>
      <c r="B23" s="2" t="s">
        <v>440</v>
      </c>
      <c r="C23" s="2" t="s">
        <v>441</v>
      </c>
      <c r="D23" s="2" t="s">
        <v>442</v>
      </c>
      <c r="E23" s="2" t="s">
        <v>3</v>
      </c>
      <c r="F23" s="2" t="s">
        <v>3</v>
      </c>
      <c r="G23" s="2" t="s">
        <v>3</v>
      </c>
      <c r="H23" s="2" t="s">
        <v>3</v>
      </c>
    </row>
    <row r="24" ht="24" spans="1:8">
      <c r="A24" s="2" t="s">
        <v>232</v>
      </c>
      <c r="B24" s="2" t="s">
        <v>443</v>
      </c>
      <c r="C24" s="2" t="s">
        <v>444</v>
      </c>
      <c r="D24" s="2" t="s">
        <v>445</v>
      </c>
      <c r="E24" s="2" t="s">
        <v>3</v>
      </c>
      <c r="F24" s="2" t="s">
        <v>3</v>
      </c>
      <c r="G24" s="2" t="s">
        <v>3</v>
      </c>
      <c r="H24" s="2" t="s">
        <v>3</v>
      </c>
    </row>
    <row r="25" ht="24" spans="1:8">
      <c r="A25" s="2" t="s">
        <v>446</v>
      </c>
      <c r="B25" s="2" t="s">
        <v>447</v>
      </c>
      <c r="C25" s="2" t="s">
        <v>448</v>
      </c>
      <c r="D25" s="2" t="s">
        <v>449</v>
      </c>
      <c r="E25" s="2" t="s">
        <v>3</v>
      </c>
      <c r="F25" s="2" t="s">
        <v>3</v>
      </c>
      <c r="G25" s="2" t="s">
        <v>3</v>
      </c>
      <c r="H25" s="2" t="s">
        <v>3</v>
      </c>
    </row>
    <row r="26" ht="24" spans="1:8">
      <c r="A26" s="2" t="s">
        <v>450</v>
      </c>
      <c r="B26" s="2" t="s">
        <v>451</v>
      </c>
      <c r="C26" s="2" t="s">
        <v>452</v>
      </c>
      <c r="D26" s="2" t="s">
        <v>453</v>
      </c>
      <c r="E26" s="2" t="s">
        <v>3</v>
      </c>
      <c r="F26" s="2" t="s">
        <v>3</v>
      </c>
      <c r="G26" s="2" t="s">
        <v>3</v>
      </c>
      <c r="H26" s="2" t="s">
        <v>3</v>
      </c>
    </row>
    <row r="27" ht="14.4" spans="1:8">
      <c r="A27" s="8" t="s">
        <v>454</v>
      </c>
      <c r="B27" s="8"/>
      <c r="C27" s="8"/>
      <c r="D27" s="8"/>
    </row>
    <row r="28" ht="28.8" spans="1:8">
      <c r="A28" s="9" t="s">
        <v>455</v>
      </c>
      <c r="B28" s="5" t="s">
        <v>456</v>
      </c>
      <c r="C28" s="5" t="s">
        <v>457</v>
      </c>
      <c r="D28" s="5" t="s">
        <v>458</v>
      </c>
    </row>
    <row r="29" ht="14.4" spans="1:8">
      <c r="A29" s="9" t="s">
        <v>459</v>
      </c>
      <c r="B29" s="5" t="s">
        <v>460</v>
      </c>
      <c r="C29" s="5" t="s">
        <v>461</v>
      </c>
      <c r="D29" s="5" t="s">
        <v>462</v>
      </c>
    </row>
    <row r="30" ht="28.8" spans="1:8">
      <c r="A30" s="9" t="s">
        <v>463</v>
      </c>
      <c r="B30" s="5" t="s">
        <v>464</v>
      </c>
      <c r="C30" s="5" t="s">
        <v>465</v>
      </c>
      <c r="D30" s="5" t="s">
        <v>466</v>
      </c>
    </row>
    <row r="31" ht="28.8" spans="1:8">
      <c r="A31" s="9" t="s">
        <v>467</v>
      </c>
      <c r="B31" s="5" t="s">
        <v>468</v>
      </c>
      <c r="C31" s="5" t="s">
        <v>469</v>
      </c>
      <c r="D31" s="5" t="s">
        <v>470</v>
      </c>
    </row>
  </sheetData>
  <mergeCells count="3">
    <mergeCell ref="A1:H1"/>
    <mergeCell ref="A18:H18"/>
    <mergeCell ref="A2:H3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8"/>
  <sheetViews>
    <sheetView workbookViewId="0">
      <selection activeCell="A1" sqref="A1:T1"/>
    </sheetView>
  </sheetViews>
  <sheetFormatPr defaultColWidth="9" defaultRowHeight="13.8" outlineLevelRow="7"/>
  <cols>
    <col min="1" max="2" width="12" customWidth="1"/>
    <col min="3" max="4" width="14" customWidth="1"/>
    <col min="5" max="5" width="12" customWidth="1"/>
    <col min="6" max="7" width="14" customWidth="1"/>
    <col min="8" max="8" width="15" customWidth="1"/>
    <col min="9" max="9" width="16" customWidth="1"/>
    <col min="10" max="10" width="14" customWidth="1"/>
    <col min="11" max="11" width="34" customWidth="1"/>
    <col min="12" max="13" width="14" customWidth="1"/>
    <col min="14" max="15" width="16" customWidth="1"/>
    <col min="16" max="16" width="26" customWidth="1"/>
    <col min="17" max="17" width="38" customWidth="1"/>
    <col min="18" max="18" width="12" customWidth="1"/>
    <col min="19" max="19" width="14" customWidth="1"/>
    <col min="20" max="20" width="28" customWidth="1"/>
    <col min="21" max="22" width="16" customWidth="1"/>
  </cols>
  <sheetData>
    <row r="1" ht="32" customHeight="1" spans="1:22">
      <c r="A1" s="1" t="s">
        <v>471</v>
      </c>
    </row>
    <row r="2" ht="36" customHeight="1" spans="1:22">
      <c r="A2" s="2" t="s">
        <v>472</v>
      </c>
    </row>
    <row r="5" spans="1:22">
      <c r="A5" s="3" t="s">
        <v>220</v>
      </c>
      <c r="B5" s="3" t="s">
        <v>221</v>
      </c>
      <c r="C5" s="3" t="s">
        <v>222</v>
      </c>
      <c r="D5" s="3" t="s">
        <v>223</v>
      </c>
      <c r="E5" s="3" t="s">
        <v>224</v>
      </c>
      <c r="F5" s="3" t="s">
        <v>225</v>
      </c>
      <c r="G5" s="3" t="s">
        <v>226</v>
      </c>
      <c r="H5" s="3" t="s">
        <v>227</v>
      </c>
      <c r="I5" s="3" t="s">
        <v>228</v>
      </c>
      <c r="J5" s="3" t="s">
        <v>229</v>
      </c>
      <c r="K5" s="3" t="s">
        <v>230</v>
      </c>
      <c r="L5" s="3" t="s">
        <v>231</v>
      </c>
      <c r="M5" s="3" t="s">
        <v>232</v>
      </c>
      <c r="N5" s="3" t="s">
        <v>233</v>
      </c>
      <c r="O5" s="3" t="s">
        <v>234</v>
      </c>
      <c r="P5" s="3" t="s">
        <v>235</v>
      </c>
      <c r="Q5" s="3" t="s">
        <v>236</v>
      </c>
      <c r="R5" s="3" t="s">
        <v>237</v>
      </c>
      <c r="S5" s="3" t="s">
        <v>238</v>
      </c>
      <c r="T5" s="3" t="s">
        <v>239</v>
      </c>
      <c r="U5" t="s">
        <v>80</v>
      </c>
      <c r="V5" t="s">
        <v>169</v>
      </c>
    </row>
    <row r="6" ht="24" spans="1:22">
      <c r="A6" s="2" t="s">
        <v>473</v>
      </c>
      <c r="B6" s="4">
        <v>46146</v>
      </c>
      <c r="C6" s="2" t="s">
        <v>250</v>
      </c>
      <c r="D6" s="2" t="s">
        <v>251</v>
      </c>
      <c r="E6" s="2" t="s">
        <v>266</v>
      </c>
      <c r="F6" s="2" t="s">
        <v>322</v>
      </c>
      <c r="G6" s="2" t="s">
        <v>268</v>
      </c>
      <c r="H6" s="2" t="s">
        <v>255</v>
      </c>
      <c r="I6" s="2" t="s">
        <v>256</v>
      </c>
      <c r="J6" s="2" t="s">
        <v>271</v>
      </c>
      <c r="K6" s="2" t="s">
        <v>474</v>
      </c>
      <c r="L6" s="2" t="s">
        <v>258</v>
      </c>
      <c r="M6" s="2" t="s">
        <v>328</v>
      </c>
      <c r="N6" s="2" t="s">
        <v>274</v>
      </c>
      <c r="O6" s="2" t="s">
        <v>304</v>
      </c>
      <c r="P6" s="2" t="s">
        <v>475</v>
      </c>
      <c r="Q6" s="2" t="s">
        <v>476</v>
      </c>
      <c r="R6" s="2" t="s">
        <v>263</v>
      </c>
      <c r="S6" s="2" t="s">
        <v>216</v>
      </c>
      <c r="T6" s="2" t="s">
        <v>477</v>
      </c>
      <c r="U6" s="5" t="s">
        <v>87</v>
      </c>
      <c r="V6" t="s">
        <v>173</v>
      </c>
    </row>
    <row r="7" ht="24" spans="1:22">
      <c r="A7" s="2" t="s">
        <v>478</v>
      </c>
      <c r="B7" s="4">
        <v>46146</v>
      </c>
      <c r="C7" s="2" t="s">
        <v>332</v>
      </c>
      <c r="D7" s="2" t="s">
        <v>280</v>
      </c>
      <c r="E7" s="2" t="s">
        <v>332</v>
      </c>
      <c r="F7" s="2" t="s">
        <v>296</v>
      </c>
      <c r="G7" s="2" t="s">
        <v>254</v>
      </c>
      <c r="H7" s="2" t="s">
        <v>269</v>
      </c>
      <c r="I7" s="2" t="s">
        <v>270</v>
      </c>
      <c r="J7" s="2" t="s">
        <v>314</v>
      </c>
      <c r="K7" s="2" t="s">
        <v>479</v>
      </c>
      <c r="L7" s="2" t="s">
        <v>287</v>
      </c>
      <c r="M7" s="2" t="s">
        <v>273</v>
      </c>
      <c r="N7" s="2" t="s">
        <v>289</v>
      </c>
      <c r="O7" s="2" t="s">
        <v>275</v>
      </c>
      <c r="P7" s="2" t="s">
        <v>480</v>
      </c>
      <c r="Q7" s="2" t="s">
        <v>481</v>
      </c>
      <c r="R7" s="2" t="s">
        <v>263</v>
      </c>
      <c r="S7" s="2" t="s">
        <v>216</v>
      </c>
      <c r="T7" s="2" t="s">
        <v>482</v>
      </c>
      <c r="U7" s="5" t="s">
        <v>94</v>
      </c>
      <c r="V7" t="s">
        <v>173</v>
      </c>
    </row>
    <row r="8" ht="24" spans="1:22">
      <c r="A8" s="2" t="s">
        <v>483</v>
      </c>
      <c r="B8" s="4">
        <v>46146</v>
      </c>
      <c r="C8" s="2" t="s">
        <v>264</v>
      </c>
      <c r="D8" s="2" t="s">
        <v>265</v>
      </c>
      <c r="E8" s="2" t="s">
        <v>252</v>
      </c>
      <c r="F8" s="2" t="s">
        <v>283</v>
      </c>
      <c r="G8" s="2" t="s">
        <v>283</v>
      </c>
      <c r="H8" s="2" t="s">
        <v>312</v>
      </c>
      <c r="I8" s="2" t="s">
        <v>285</v>
      </c>
      <c r="J8" s="2" t="s">
        <v>351</v>
      </c>
      <c r="K8" s="2" t="s">
        <v>484</v>
      </c>
      <c r="L8" s="2" t="s">
        <v>370</v>
      </c>
      <c r="M8" s="2" t="s">
        <v>316</v>
      </c>
      <c r="N8" s="2" t="s">
        <v>303</v>
      </c>
      <c r="O8" s="2" t="s">
        <v>330</v>
      </c>
      <c r="P8" s="2" t="s">
        <v>485</v>
      </c>
      <c r="Q8" s="2" t="s">
        <v>486</v>
      </c>
      <c r="R8" s="2" t="s">
        <v>263</v>
      </c>
      <c r="S8" s="2" t="s">
        <v>277</v>
      </c>
      <c r="T8" s="2" t="s">
        <v>487</v>
      </c>
      <c r="U8" s="5"/>
    </row>
  </sheetData>
  <mergeCells count="2">
    <mergeCell ref="A1:T1"/>
    <mergeCell ref="A2:T3"/>
  </mergeCells>
  <dataValidations count="1">
    <dataValidation type="list" sqref="V6:V20">
      <formula1>'02_下拉字典'!$Q$4:$Q$9</formula1>
    </dataValidation>
  </dataValidation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00_采集手册</vt:lpstr>
      <vt:lpstr>01_极简采集表</vt:lpstr>
      <vt:lpstr>02_下拉字典</vt:lpstr>
      <vt:lpstr>03_清洗入库规则</vt:lpstr>
      <vt:lpstr>04_脱敏样例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KARASz</cp:lastModifiedBy>
  <dcterms:created xsi:type="dcterms:W3CDTF">2026-05-05T07:58:09Z</dcterms:created>
  <dcterms:modified xsi:type="dcterms:W3CDTF">2026-05-05T07:58:36Z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3DF5036C828B441AA7D9B515101FC28D_12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0</vt:i4>
  </property>
</Properties>
</file>